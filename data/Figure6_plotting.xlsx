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workProjects\2025-05_spendingModellingREPL\data\"/>
    </mc:Choice>
  </mc:AlternateContent>
  <xr:revisionPtr revIDLastSave="0" documentId="8_{D745674F-C25B-4939-8A30-82E3FE617F0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Figure_6B_6D" sheetId="3" r:id="rId1"/>
    <sheet name="Figure_6A_6C_6E_6F" sheetId="2" r:id="rId2"/>
    <sheet name="Not_used_Results_from_model_OLD" sheetId="7" state="hidden" r:id="rId3"/>
    <sheet name="Results_from_model" sheetId="5" r:id="rId4"/>
    <sheet name="Models_Result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7" l="1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C108" i="7"/>
  <c r="Y105" i="5"/>
  <c r="X105" i="5"/>
  <c r="W105" i="5"/>
  <c r="V105" i="5"/>
  <c r="U105" i="5"/>
  <c r="T105" i="5"/>
  <c r="S105" i="5"/>
  <c r="R105" i="5"/>
  <c r="Q105" i="5"/>
  <c r="P105" i="5"/>
  <c r="O105" i="5"/>
  <c r="N105" i="5"/>
  <c r="K105" i="5"/>
  <c r="J105" i="5"/>
  <c r="I105" i="5"/>
  <c r="H105" i="5"/>
  <c r="G105" i="5"/>
  <c r="F105" i="5"/>
  <c r="E105" i="5"/>
  <c r="D105" i="5"/>
  <c r="D105" i="2" s="1"/>
  <c r="C105" i="5"/>
  <c r="Y104" i="5"/>
  <c r="X104" i="5"/>
  <c r="W104" i="5"/>
  <c r="V104" i="5"/>
  <c r="U104" i="5"/>
  <c r="I104" i="3" s="1"/>
  <c r="T104" i="5"/>
  <c r="S104" i="5"/>
  <c r="R104" i="5"/>
  <c r="Q104" i="5"/>
  <c r="P104" i="5"/>
  <c r="O104" i="5"/>
  <c r="N104" i="5"/>
  <c r="K104" i="5"/>
  <c r="J104" i="5"/>
  <c r="I104" i="5"/>
  <c r="H104" i="5"/>
  <c r="G104" i="5"/>
  <c r="F104" i="5"/>
  <c r="E104" i="5"/>
  <c r="D104" i="5"/>
  <c r="C104" i="5"/>
  <c r="C104" i="2" s="1"/>
  <c r="Y103" i="5"/>
  <c r="X103" i="5"/>
  <c r="W103" i="5"/>
  <c r="V103" i="5"/>
  <c r="U103" i="5"/>
  <c r="T103" i="5"/>
  <c r="S103" i="5"/>
  <c r="R103" i="5"/>
  <c r="Q103" i="5"/>
  <c r="P103" i="5"/>
  <c r="O103" i="5"/>
  <c r="N103" i="5"/>
  <c r="K103" i="5"/>
  <c r="J103" i="5"/>
  <c r="I103" i="5"/>
  <c r="I103" i="2" s="1"/>
  <c r="H103" i="5"/>
  <c r="G103" i="5"/>
  <c r="F103" i="5"/>
  <c r="E103" i="5"/>
  <c r="D103" i="5"/>
  <c r="C103" i="5"/>
  <c r="Y102" i="5"/>
  <c r="X102" i="5"/>
  <c r="W102" i="5"/>
  <c r="V102" i="5"/>
  <c r="U102" i="5"/>
  <c r="T102" i="5"/>
  <c r="S102" i="5"/>
  <c r="R102" i="5"/>
  <c r="Q102" i="5"/>
  <c r="P102" i="5"/>
  <c r="D102" i="3" s="1"/>
  <c r="O102" i="5"/>
  <c r="N102" i="5"/>
  <c r="K102" i="5"/>
  <c r="J102" i="5"/>
  <c r="I102" i="5"/>
  <c r="H102" i="5"/>
  <c r="G102" i="5"/>
  <c r="F102" i="5"/>
  <c r="F102" i="2" s="1"/>
  <c r="E102" i="5"/>
  <c r="D102" i="5"/>
  <c r="C102" i="5"/>
  <c r="Y101" i="5"/>
  <c r="M101" i="3" s="1"/>
  <c r="X101" i="5"/>
  <c r="W101" i="5"/>
  <c r="V101" i="5"/>
  <c r="U101" i="5"/>
  <c r="T101" i="5"/>
  <c r="S101" i="5"/>
  <c r="R101" i="5"/>
  <c r="Q101" i="5"/>
  <c r="P101" i="5"/>
  <c r="O101" i="5"/>
  <c r="N101" i="5"/>
  <c r="K101" i="5"/>
  <c r="J101" i="5"/>
  <c r="I101" i="5"/>
  <c r="H101" i="5"/>
  <c r="G101" i="5"/>
  <c r="F101" i="5"/>
  <c r="E101" i="5"/>
  <c r="D101" i="5"/>
  <c r="C101" i="5"/>
  <c r="Y100" i="5"/>
  <c r="X100" i="5"/>
  <c r="W100" i="5"/>
  <c r="V100" i="5"/>
  <c r="J100" i="3" s="1"/>
  <c r="U100" i="5"/>
  <c r="T100" i="5"/>
  <c r="H100" i="3" s="1"/>
  <c r="S100" i="5"/>
  <c r="R100" i="5"/>
  <c r="Q100" i="5"/>
  <c r="P100" i="5"/>
  <c r="D100" i="3" s="1"/>
  <c r="O100" i="5"/>
  <c r="N100" i="5"/>
  <c r="K100" i="5"/>
  <c r="J100" i="5"/>
  <c r="I100" i="5"/>
  <c r="H100" i="5"/>
  <c r="G100" i="5"/>
  <c r="F100" i="5"/>
  <c r="E100" i="5"/>
  <c r="D100" i="5"/>
  <c r="D100" i="2" s="1"/>
  <c r="C100" i="5"/>
  <c r="Y99" i="5"/>
  <c r="X99" i="5"/>
  <c r="W99" i="5"/>
  <c r="V99" i="5"/>
  <c r="U99" i="5"/>
  <c r="T99" i="5"/>
  <c r="S99" i="5"/>
  <c r="R99" i="5"/>
  <c r="Q99" i="5"/>
  <c r="P99" i="5"/>
  <c r="D99" i="3" s="1"/>
  <c r="O99" i="5"/>
  <c r="N99" i="5"/>
  <c r="K99" i="5"/>
  <c r="J99" i="5"/>
  <c r="J99" i="2" s="1"/>
  <c r="I99" i="5"/>
  <c r="H99" i="5"/>
  <c r="H99" i="2" s="1"/>
  <c r="G99" i="5"/>
  <c r="F99" i="5"/>
  <c r="E99" i="5"/>
  <c r="D99" i="5"/>
  <c r="D99" i="2" s="1"/>
  <c r="C99" i="5"/>
  <c r="Y98" i="5"/>
  <c r="X98" i="5"/>
  <c r="W98" i="5"/>
  <c r="V98" i="5"/>
  <c r="U98" i="5"/>
  <c r="T98" i="5"/>
  <c r="S98" i="5"/>
  <c r="R98" i="5"/>
  <c r="Q98" i="5"/>
  <c r="P98" i="5"/>
  <c r="O98" i="5"/>
  <c r="N98" i="5"/>
  <c r="B98" i="3" s="1"/>
  <c r="K98" i="5"/>
  <c r="J98" i="5"/>
  <c r="I98" i="5"/>
  <c r="H98" i="5"/>
  <c r="G98" i="5"/>
  <c r="G98" i="2" s="1"/>
  <c r="F98" i="5"/>
  <c r="E98" i="5"/>
  <c r="D98" i="5"/>
  <c r="C98" i="5"/>
  <c r="Y97" i="5"/>
  <c r="X97" i="5"/>
  <c r="L97" i="3" s="1"/>
  <c r="W97" i="5"/>
  <c r="V97" i="5"/>
  <c r="J97" i="3" s="1"/>
  <c r="U97" i="5"/>
  <c r="T97" i="5"/>
  <c r="S97" i="5"/>
  <c r="R97" i="5"/>
  <c r="Q97" i="5"/>
  <c r="P97" i="5"/>
  <c r="O97" i="5"/>
  <c r="N97" i="5"/>
  <c r="K97" i="5"/>
  <c r="J97" i="5"/>
  <c r="I97" i="5"/>
  <c r="H97" i="5"/>
  <c r="G97" i="5"/>
  <c r="F97" i="5"/>
  <c r="E97" i="5"/>
  <c r="D97" i="5"/>
  <c r="C97" i="5"/>
  <c r="Y96" i="5"/>
  <c r="X96" i="5"/>
  <c r="W96" i="5"/>
  <c r="V96" i="5"/>
  <c r="J96" i="3" s="1"/>
  <c r="U96" i="5"/>
  <c r="I96" i="3" s="1"/>
  <c r="T96" i="5"/>
  <c r="S96" i="5"/>
  <c r="R96" i="5"/>
  <c r="Q96" i="5"/>
  <c r="P96" i="5"/>
  <c r="D96" i="3" s="1"/>
  <c r="O96" i="5"/>
  <c r="N96" i="5"/>
  <c r="B96" i="3" s="1"/>
  <c r="K96" i="5"/>
  <c r="J96" i="5"/>
  <c r="J96" i="2" s="1"/>
  <c r="I96" i="5"/>
  <c r="H96" i="5"/>
  <c r="G96" i="5"/>
  <c r="F96" i="5"/>
  <c r="E96" i="5"/>
  <c r="D96" i="5"/>
  <c r="D96" i="2" s="1"/>
  <c r="C96" i="5"/>
  <c r="Y95" i="5"/>
  <c r="X95" i="5"/>
  <c r="W95" i="5"/>
  <c r="V95" i="5"/>
  <c r="U95" i="5"/>
  <c r="T95" i="5"/>
  <c r="S95" i="5"/>
  <c r="R95" i="5"/>
  <c r="Q95" i="5"/>
  <c r="P95" i="5"/>
  <c r="O95" i="5"/>
  <c r="N95" i="5"/>
  <c r="K95" i="5"/>
  <c r="K95" i="2" s="1"/>
  <c r="J95" i="5"/>
  <c r="I95" i="5"/>
  <c r="I95" i="2" s="1"/>
  <c r="H95" i="5"/>
  <c r="G95" i="5"/>
  <c r="F95" i="5"/>
  <c r="E95" i="5"/>
  <c r="D95" i="5"/>
  <c r="C95" i="5"/>
  <c r="Y94" i="5"/>
  <c r="X94" i="5"/>
  <c r="L94" i="3" s="1"/>
  <c r="W94" i="5"/>
  <c r="V94" i="5"/>
  <c r="J94" i="3" s="1"/>
  <c r="U94" i="5"/>
  <c r="T94" i="5"/>
  <c r="S94" i="5"/>
  <c r="R94" i="5"/>
  <c r="Q94" i="5"/>
  <c r="P94" i="5"/>
  <c r="O94" i="5"/>
  <c r="N94" i="5"/>
  <c r="K94" i="5"/>
  <c r="J94" i="5"/>
  <c r="I94" i="5"/>
  <c r="H94" i="5"/>
  <c r="H94" i="2" s="1"/>
  <c r="G94" i="5"/>
  <c r="F94" i="5"/>
  <c r="F94" i="2" s="1"/>
  <c r="E94" i="5"/>
  <c r="D94" i="5"/>
  <c r="D94" i="2" s="1"/>
  <c r="C94" i="5"/>
  <c r="Y93" i="5"/>
  <c r="M93" i="3" s="1"/>
  <c r="X93" i="5"/>
  <c r="L93" i="3" s="1"/>
  <c r="W93" i="5"/>
  <c r="V93" i="5"/>
  <c r="U93" i="5"/>
  <c r="T93" i="5"/>
  <c r="S93" i="5"/>
  <c r="R93" i="5"/>
  <c r="Q93" i="5"/>
  <c r="P93" i="5"/>
  <c r="D93" i="3" s="1"/>
  <c r="O93" i="5"/>
  <c r="N93" i="5"/>
  <c r="K93" i="5"/>
  <c r="J93" i="5"/>
  <c r="J93" i="2" s="1"/>
  <c r="I93" i="5"/>
  <c r="H93" i="5"/>
  <c r="G93" i="5"/>
  <c r="F93" i="5"/>
  <c r="E93" i="5"/>
  <c r="D93" i="5"/>
  <c r="C93" i="5"/>
  <c r="Y92" i="5"/>
  <c r="X92" i="5"/>
  <c r="W92" i="5"/>
  <c r="V92" i="5"/>
  <c r="U92" i="5"/>
  <c r="T92" i="5"/>
  <c r="H92" i="3" s="1"/>
  <c r="S92" i="5"/>
  <c r="R92" i="5"/>
  <c r="Q92" i="5"/>
  <c r="P92" i="5"/>
  <c r="O92" i="5"/>
  <c r="N92" i="5"/>
  <c r="K92" i="5"/>
  <c r="J92" i="5"/>
  <c r="I92" i="5"/>
  <c r="H92" i="5"/>
  <c r="G92" i="5"/>
  <c r="F92" i="5"/>
  <c r="E92" i="5"/>
  <c r="D92" i="5"/>
  <c r="D92" i="2" s="1"/>
  <c r="C92" i="5"/>
  <c r="Y91" i="5"/>
  <c r="X91" i="5"/>
  <c r="L91" i="3" s="1"/>
  <c r="W91" i="5"/>
  <c r="V91" i="5"/>
  <c r="U91" i="5"/>
  <c r="T91" i="5"/>
  <c r="S91" i="5"/>
  <c r="R91" i="5"/>
  <c r="Q91" i="5"/>
  <c r="P91" i="5"/>
  <c r="D91" i="3" s="1"/>
  <c r="O91" i="5"/>
  <c r="N91" i="5"/>
  <c r="K91" i="5"/>
  <c r="J91" i="5"/>
  <c r="J91" i="2" s="1"/>
  <c r="I91" i="5"/>
  <c r="I91" i="2" s="1"/>
  <c r="H91" i="5"/>
  <c r="H91" i="2" s="1"/>
  <c r="G91" i="5"/>
  <c r="F91" i="5"/>
  <c r="F91" i="2" s="1"/>
  <c r="E91" i="5"/>
  <c r="D91" i="5"/>
  <c r="C91" i="5"/>
  <c r="Y90" i="5"/>
  <c r="X90" i="5"/>
  <c r="W90" i="5"/>
  <c r="V90" i="5"/>
  <c r="U90" i="5"/>
  <c r="T90" i="5"/>
  <c r="S90" i="5"/>
  <c r="R90" i="5"/>
  <c r="F90" i="3" s="1"/>
  <c r="Q90" i="5"/>
  <c r="P90" i="5"/>
  <c r="D90" i="3" s="1"/>
  <c r="O90" i="5"/>
  <c r="N90" i="5"/>
  <c r="K90" i="5"/>
  <c r="J90" i="5"/>
  <c r="I90" i="5"/>
  <c r="H90" i="5"/>
  <c r="G90" i="5"/>
  <c r="F90" i="5"/>
  <c r="F90" i="2" s="1"/>
  <c r="E90" i="5"/>
  <c r="D90" i="5"/>
  <c r="C90" i="5"/>
  <c r="Y89" i="5"/>
  <c r="X89" i="5"/>
  <c r="L89" i="3" s="1"/>
  <c r="W89" i="5"/>
  <c r="V89" i="5"/>
  <c r="U89" i="5"/>
  <c r="T89" i="5"/>
  <c r="S89" i="5"/>
  <c r="R89" i="5"/>
  <c r="Q89" i="5"/>
  <c r="P89" i="5"/>
  <c r="O89" i="5"/>
  <c r="N89" i="5"/>
  <c r="K89" i="5"/>
  <c r="J89" i="5"/>
  <c r="I89" i="5"/>
  <c r="H89" i="5"/>
  <c r="G89" i="5"/>
  <c r="F89" i="5"/>
  <c r="E89" i="5"/>
  <c r="D89" i="5"/>
  <c r="C89" i="5"/>
  <c r="Y88" i="5"/>
  <c r="X88" i="5"/>
  <c r="W88" i="5"/>
  <c r="V88" i="5"/>
  <c r="U88" i="5"/>
  <c r="I88" i="3" s="1"/>
  <c r="T88" i="5"/>
  <c r="S88" i="5"/>
  <c r="R88" i="5"/>
  <c r="Q88" i="5"/>
  <c r="P88" i="5"/>
  <c r="O88" i="5"/>
  <c r="N88" i="5"/>
  <c r="K88" i="5"/>
  <c r="J88" i="5"/>
  <c r="I88" i="5"/>
  <c r="H88" i="5"/>
  <c r="H88" i="2" s="1"/>
  <c r="G88" i="5"/>
  <c r="F88" i="5"/>
  <c r="E88" i="5"/>
  <c r="D88" i="5"/>
  <c r="C88" i="5"/>
  <c r="Y87" i="5"/>
  <c r="X87" i="5"/>
  <c r="W87" i="5"/>
  <c r="V87" i="5"/>
  <c r="U87" i="5"/>
  <c r="T87" i="5"/>
  <c r="H87" i="3" s="1"/>
  <c r="S87" i="5"/>
  <c r="R87" i="5"/>
  <c r="Q87" i="5"/>
  <c r="P87" i="5"/>
  <c r="O87" i="5"/>
  <c r="N87" i="5"/>
  <c r="K87" i="5"/>
  <c r="K87" i="2" s="1"/>
  <c r="J87" i="5"/>
  <c r="I87" i="5"/>
  <c r="H87" i="5"/>
  <c r="G87" i="5"/>
  <c r="F87" i="5"/>
  <c r="E87" i="5"/>
  <c r="D87" i="5"/>
  <c r="C87" i="5"/>
  <c r="Y86" i="5"/>
  <c r="X86" i="5"/>
  <c r="W86" i="5"/>
  <c r="V86" i="5"/>
  <c r="U86" i="5"/>
  <c r="T86" i="5"/>
  <c r="S86" i="5"/>
  <c r="R86" i="5"/>
  <c r="Q86" i="5"/>
  <c r="P86" i="5"/>
  <c r="O86" i="5"/>
  <c r="N86" i="5"/>
  <c r="K86" i="5"/>
  <c r="J86" i="5"/>
  <c r="J86" i="2" s="1"/>
  <c r="I86" i="5"/>
  <c r="H86" i="5"/>
  <c r="H86" i="2" s="1"/>
  <c r="G86" i="5"/>
  <c r="F86" i="5"/>
  <c r="E86" i="5"/>
  <c r="D86" i="5"/>
  <c r="D86" i="2" s="1"/>
  <c r="C86" i="5"/>
  <c r="Y85" i="5"/>
  <c r="M85" i="3" s="1"/>
  <c r="X85" i="5"/>
  <c r="W85" i="5"/>
  <c r="V85" i="5"/>
  <c r="U85" i="5"/>
  <c r="T85" i="5"/>
  <c r="S85" i="5"/>
  <c r="R85" i="5"/>
  <c r="Q85" i="5"/>
  <c r="P85" i="5"/>
  <c r="O85" i="5"/>
  <c r="N85" i="5"/>
  <c r="K85" i="5"/>
  <c r="J85" i="5"/>
  <c r="J85" i="2" s="1"/>
  <c r="I85" i="5"/>
  <c r="H85" i="5"/>
  <c r="H85" i="2" s="1"/>
  <c r="G85" i="5"/>
  <c r="G85" i="2" s="1"/>
  <c r="F85" i="5"/>
  <c r="E85" i="5"/>
  <c r="D85" i="5"/>
  <c r="C85" i="5"/>
  <c r="Y84" i="5"/>
  <c r="X84" i="5"/>
  <c r="W84" i="5"/>
  <c r="V84" i="5"/>
  <c r="J84" i="3" s="1"/>
  <c r="U84" i="5"/>
  <c r="I84" i="3" s="1"/>
  <c r="T84" i="5"/>
  <c r="S84" i="5"/>
  <c r="R84" i="5"/>
  <c r="F84" i="3" s="1"/>
  <c r="Q84" i="5"/>
  <c r="P84" i="5"/>
  <c r="O84" i="5"/>
  <c r="N84" i="5"/>
  <c r="K84" i="5"/>
  <c r="J84" i="5"/>
  <c r="I84" i="5"/>
  <c r="H84" i="5"/>
  <c r="G84" i="5"/>
  <c r="F84" i="5"/>
  <c r="E84" i="5"/>
  <c r="D84" i="5"/>
  <c r="D84" i="2" s="1"/>
  <c r="C84" i="5"/>
  <c r="C84" i="2" s="1"/>
  <c r="Y83" i="5"/>
  <c r="X83" i="5"/>
  <c r="W83" i="5"/>
  <c r="V83" i="5"/>
  <c r="U83" i="5"/>
  <c r="T83" i="5"/>
  <c r="S83" i="5"/>
  <c r="R83" i="5"/>
  <c r="Q83" i="5"/>
  <c r="P83" i="5"/>
  <c r="O83" i="5"/>
  <c r="N83" i="5"/>
  <c r="K83" i="5"/>
  <c r="J83" i="5"/>
  <c r="J83" i="2" s="1"/>
  <c r="I83" i="5"/>
  <c r="I83" i="2" s="1"/>
  <c r="H83" i="5"/>
  <c r="H83" i="2" s="1"/>
  <c r="G83" i="5"/>
  <c r="F83" i="5"/>
  <c r="E83" i="5"/>
  <c r="D83" i="5"/>
  <c r="C83" i="5"/>
  <c r="Y82" i="5"/>
  <c r="X82" i="5"/>
  <c r="W82" i="5"/>
  <c r="V82" i="5"/>
  <c r="U82" i="5"/>
  <c r="T82" i="5"/>
  <c r="S82" i="5"/>
  <c r="R82" i="5"/>
  <c r="Q82" i="5"/>
  <c r="P82" i="5"/>
  <c r="O82" i="5"/>
  <c r="N82" i="5"/>
  <c r="B82" i="3" s="1"/>
  <c r="K82" i="5"/>
  <c r="J82" i="5"/>
  <c r="J82" i="2" s="1"/>
  <c r="I82" i="5"/>
  <c r="H82" i="5"/>
  <c r="H82" i="2" s="1"/>
  <c r="G82" i="5"/>
  <c r="F82" i="5"/>
  <c r="E82" i="5"/>
  <c r="D82" i="5"/>
  <c r="D82" i="2" s="1"/>
  <c r="C82" i="5"/>
  <c r="Y81" i="5"/>
  <c r="X81" i="5"/>
  <c r="W81" i="5"/>
  <c r="V81" i="5"/>
  <c r="J81" i="3" s="1"/>
  <c r="U81" i="5"/>
  <c r="T81" i="5"/>
  <c r="S81" i="5"/>
  <c r="R81" i="5"/>
  <c r="Q81" i="5"/>
  <c r="P81" i="5"/>
  <c r="O81" i="5"/>
  <c r="N81" i="5"/>
  <c r="K81" i="5"/>
  <c r="J81" i="5"/>
  <c r="J81" i="2" s="1"/>
  <c r="I81" i="5"/>
  <c r="H81" i="5"/>
  <c r="G81" i="5"/>
  <c r="F81" i="5"/>
  <c r="F81" i="2" s="1"/>
  <c r="E81" i="5"/>
  <c r="E81" i="2" s="1"/>
  <c r="D81" i="5"/>
  <c r="D81" i="2" s="1"/>
  <c r="C81" i="5"/>
  <c r="Y80" i="5"/>
  <c r="X80" i="5"/>
  <c r="W80" i="5"/>
  <c r="V80" i="5"/>
  <c r="U80" i="5"/>
  <c r="I80" i="3" s="1"/>
  <c r="T80" i="5"/>
  <c r="S80" i="5"/>
  <c r="R80" i="5"/>
  <c r="F80" i="3" s="1"/>
  <c r="Q80" i="5"/>
  <c r="P80" i="5"/>
  <c r="D80" i="3" s="1"/>
  <c r="O80" i="5"/>
  <c r="N80" i="5"/>
  <c r="K80" i="5"/>
  <c r="J80" i="5"/>
  <c r="I80" i="5"/>
  <c r="H80" i="5"/>
  <c r="H80" i="2" s="1"/>
  <c r="G80" i="5"/>
  <c r="F80" i="5"/>
  <c r="F80" i="2" s="1"/>
  <c r="E80" i="5"/>
  <c r="D80" i="5"/>
  <c r="C80" i="5"/>
  <c r="Y79" i="5"/>
  <c r="X79" i="5"/>
  <c r="W79" i="5"/>
  <c r="V79" i="5"/>
  <c r="U79" i="5"/>
  <c r="T79" i="5"/>
  <c r="S79" i="5"/>
  <c r="R79" i="5"/>
  <c r="Q79" i="5"/>
  <c r="E79" i="3" s="1"/>
  <c r="P79" i="5"/>
  <c r="O79" i="5"/>
  <c r="N79" i="5"/>
  <c r="B79" i="3" s="1"/>
  <c r="K79" i="5"/>
  <c r="J79" i="5"/>
  <c r="I79" i="5"/>
  <c r="H79" i="5"/>
  <c r="G79" i="5"/>
  <c r="F79" i="5"/>
  <c r="E79" i="5"/>
  <c r="E79" i="2" s="1"/>
  <c r="D79" i="5"/>
  <c r="C79" i="5"/>
  <c r="Y78" i="5"/>
  <c r="X78" i="5"/>
  <c r="W78" i="5"/>
  <c r="K78" i="3" s="1"/>
  <c r="V78" i="5"/>
  <c r="J78" i="3" s="1"/>
  <c r="U78" i="5"/>
  <c r="T78" i="5"/>
  <c r="S78" i="5"/>
  <c r="R78" i="5"/>
  <c r="Q78" i="5"/>
  <c r="P78" i="5"/>
  <c r="O78" i="5"/>
  <c r="N78" i="5"/>
  <c r="K78" i="5"/>
  <c r="J78" i="5"/>
  <c r="J78" i="2" s="1"/>
  <c r="I78" i="5"/>
  <c r="H78" i="5"/>
  <c r="H78" i="2" s="1"/>
  <c r="G78" i="5"/>
  <c r="F78" i="5"/>
  <c r="E78" i="5"/>
  <c r="D78" i="5"/>
  <c r="C78" i="5"/>
  <c r="Y77" i="5"/>
  <c r="M77" i="3" s="1"/>
  <c r="X77" i="5"/>
  <c r="W77" i="5"/>
  <c r="V77" i="5"/>
  <c r="U77" i="5"/>
  <c r="T77" i="5"/>
  <c r="H77" i="3" s="1"/>
  <c r="S77" i="5"/>
  <c r="R77" i="5"/>
  <c r="F77" i="3" s="1"/>
  <c r="Q77" i="5"/>
  <c r="P77" i="5"/>
  <c r="O77" i="5"/>
  <c r="C77" i="3" s="1"/>
  <c r="N77" i="5"/>
  <c r="B77" i="3" s="1"/>
  <c r="K77" i="5"/>
  <c r="J77" i="5"/>
  <c r="I77" i="5"/>
  <c r="H77" i="5"/>
  <c r="G77" i="5"/>
  <c r="F77" i="5"/>
  <c r="F77" i="2" s="1"/>
  <c r="E77" i="5"/>
  <c r="D77" i="5"/>
  <c r="C77" i="5"/>
  <c r="Y76" i="5"/>
  <c r="X76" i="5"/>
  <c r="W76" i="5"/>
  <c r="V76" i="5"/>
  <c r="U76" i="5"/>
  <c r="I76" i="3" s="1"/>
  <c r="T76" i="5"/>
  <c r="S76" i="5"/>
  <c r="R76" i="5"/>
  <c r="Q76" i="5"/>
  <c r="P76" i="5"/>
  <c r="O76" i="5"/>
  <c r="C76" i="3" s="1"/>
  <c r="N76" i="5"/>
  <c r="K76" i="5"/>
  <c r="J76" i="5"/>
  <c r="I76" i="5"/>
  <c r="H76" i="5"/>
  <c r="G76" i="5"/>
  <c r="F76" i="5"/>
  <c r="E76" i="5"/>
  <c r="D76" i="5"/>
  <c r="C76" i="5"/>
  <c r="Y75" i="5"/>
  <c r="M75" i="3" s="1"/>
  <c r="X75" i="5"/>
  <c r="W75" i="5"/>
  <c r="V75" i="5"/>
  <c r="U75" i="5"/>
  <c r="T75" i="5"/>
  <c r="S75" i="5"/>
  <c r="R75" i="5"/>
  <c r="Q75" i="5"/>
  <c r="P75" i="5"/>
  <c r="O75" i="5"/>
  <c r="C75" i="3" s="1"/>
  <c r="N75" i="5"/>
  <c r="K75" i="5"/>
  <c r="J75" i="5"/>
  <c r="I75" i="5"/>
  <c r="I75" i="2" s="1"/>
  <c r="H75" i="5"/>
  <c r="G75" i="5"/>
  <c r="G75" i="2" s="1"/>
  <c r="F75" i="5"/>
  <c r="E75" i="5"/>
  <c r="D75" i="5"/>
  <c r="D75" i="2" s="1"/>
  <c r="C75" i="5"/>
  <c r="Y74" i="5"/>
  <c r="X74" i="5"/>
  <c r="W74" i="5"/>
  <c r="V74" i="5"/>
  <c r="J74" i="3" s="1"/>
  <c r="U74" i="5"/>
  <c r="I74" i="3" s="1"/>
  <c r="T74" i="5"/>
  <c r="S74" i="5"/>
  <c r="R74" i="5"/>
  <c r="Q74" i="5"/>
  <c r="P74" i="5"/>
  <c r="O74" i="5"/>
  <c r="N74" i="5"/>
  <c r="B74" i="3" s="1"/>
  <c r="K74" i="5"/>
  <c r="J74" i="5"/>
  <c r="I74" i="5"/>
  <c r="H74" i="5"/>
  <c r="G74" i="5"/>
  <c r="F74" i="5"/>
  <c r="F74" i="2" s="1"/>
  <c r="E74" i="5"/>
  <c r="D74" i="5"/>
  <c r="C74" i="5"/>
  <c r="Y73" i="5"/>
  <c r="X73" i="5"/>
  <c r="W73" i="5"/>
  <c r="K73" i="3" s="1"/>
  <c r="V73" i="5"/>
  <c r="J73" i="3" s="1"/>
  <c r="U73" i="5"/>
  <c r="T73" i="5"/>
  <c r="S73" i="5"/>
  <c r="R73" i="5"/>
  <c r="Q73" i="5"/>
  <c r="E73" i="3" s="1"/>
  <c r="P73" i="5"/>
  <c r="O73" i="5"/>
  <c r="N73" i="5"/>
  <c r="K73" i="5"/>
  <c r="J73" i="5"/>
  <c r="J73" i="2" s="1"/>
  <c r="I73" i="5"/>
  <c r="H73" i="5"/>
  <c r="G73" i="5"/>
  <c r="F73" i="5"/>
  <c r="F73" i="2" s="1"/>
  <c r="E73" i="5"/>
  <c r="E73" i="2" s="1"/>
  <c r="D73" i="5"/>
  <c r="D73" i="2" s="1"/>
  <c r="C73" i="5"/>
  <c r="Y72" i="5"/>
  <c r="X72" i="5"/>
  <c r="W72" i="5"/>
  <c r="K72" i="3" s="1"/>
  <c r="V72" i="5"/>
  <c r="U72" i="5"/>
  <c r="I72" i="3" s="1"/>
  <c r="T72" i="5"/>
  <c r="S72" i="5"/>
  <c r="R72" i="5"/>
  <c r="Q72" i="5"/>
  <c r="P72" i="5"/>
  <c r="O72" i="5"/>
  <c r="N72" i="5"/>
  <c r="K72" i="5"/>
  <c r="K72" i="2" s="1"/>
  <c r="J72" i="5"/>
  <c r="J72" i="2" s="1"/>
  <c r="I72" i="5"/>
  <c r="H72" i="5"/>
  <c r="G72" i="5"/>
  <c r="F72" i="5"/>
  <c r="F72" i="2" s="1"/>
  <c r="E72" i="5"/>
  <c r="D72" i="5"/>
  <c r="C72" i="5"/>
  <c r="C72" i="2" s="1"/>
  <c r="Y71" i="5"/>
  <c r="X71" i="5"/>
  <c r="L71" i="3" s="1"/>
  <c r="W71" i="5"/>
  <c r="V71" i="5"/>
  <c r="J71" i="3" s="1"/>
  <c r="U71" i="5"/>
  <c r="T71" i="5"/>
  <c r="S71" i="5"/>
  <c r="R71" i="5"/>
  <c r="Q71" i="5"/>
  <c r="E71" i="3" s="1"/>
  <c r="P71" i="5"/>
  <c r="O71" i="5"/>
  <c r="N71" i="5"/>
  <c r="K71" i="5"/>
  <c r="J71" i="5"/>
  <c r="I71" i="5"/>
  <c r="H71" i="5"/>
  <c r="G71" i="5"/>
  <c r="F71" i="5"/>
  <c r="F71" i="2" s="1"/>
  <c r="E71" i="5"/>
  <c r="E71" i="2" s="1"/>
  <c r="D71" i="5"/>
  <c r="D71" i="2" s="1"/>
  <c r="C71" i="5"/>
  <c r="Y70" i="5"/>
  <c r="X70" i="5"/>
  <c r="L70" i="3" s="1"/>
  <c r="W70" i="5"/>
  <c r="K70" i="3" s="1"/>
  <c r="V70" i="5"/>
  <c r="J70" i="3" s="1"/>
  <c r="U70" i="5"/>
  <c r="T70" i="5"/>
  <c r="S70" i="5"/>
  <c r="G70" i="3" s="1"/>
  <c r="R70" i="5"/>
  <c r="Q70" i="5"/>
  <c r="P70" i="5"/>
  <c r="O70" i="5"/>
  <c r="N70" i="5"/>
  <c r="K70" i="5"/>
  <c r="J70" i="5"/>
  <c r="I70" i="5"/>
  <c r="H70" i="5"/>
  <c r="G70" i="5"/>
  <c r="G70" i="2" s="1"/>
  <c r="F70" i="5"/>
  <c r="E70" i="5"/>
  <c r="D70" i="5"/>
  <c r="C70" i="5"/>
  <c r="Y69" i="5"/>
  <c r="M69" i="3" s="1"/>
  <c r="X69" i="5"/>
  <c r="W69" i="5"/>
  <c r="V69" i="5"/>
  <c r="U69" i="5"/>
  <c r="T69" i="5"/>
  <c r="S69" i="5"/>
  <c r="G69" i="3" s="1"/>
  <c r="R69" i="5"/>
  <c r="F69" i="3" s="1"/>
  <c r="Q69" i="5"/>
  <c r="P69" i="5"/>
  <c r="O69" i="5"/>
  <c r="N69" i="5"/>
  <c r="B69" i="3" s="1"/>
  <c r="K69" i="5"/>
  <c r="K69" i="2" s="1"/>
  <c r="J69" i="5"/>
  <c r="I69" i="5"/>
  <c r="H69" i="5"/>
  <c r="H69" i="2" s="1"/>
  <c r="G69" i="5"/>
  <c r="G69" i="2" s="1"/>
  <c r="F69" i="5"/>
  <c r="F69" i="2" s="1"/>
  <c r="E69" i="5"/>
  <c r="D69" i="5"/>
  <c r="C69" i="5"/>
  <c r="Y68" i="5"/>
  <c r="X68" i="5"/>
  <c r="W68" i="5"/>
  <c r="V68" i="5"/>
  <c r="U68" i="5"/>
  <c r="I68" i="3" s="1"/>
  <c r="T68" i="5"/>
  <c r="H68" i="3" s="1"/>
  <c r="S68" i="5"/>
  <c r="R68" i="5"/>
  <c r="Q68" i="5"/>
  <c r="P68" i="5"/>
  <c r="O68" i="5"/>
  <c r="N68" i="5"/>
  <c r="K68" i="5"/>
  <c r="J68" i="5"/>
  <c r="I68" i="5"/>
  <c r="H68" i="5"/>
  <c r="G68" i="5"/>
  <c r="F68" i="5"/>
  <c r="E68" i="5"/>
  <c r="D68" i="5"/>
  <c r="C68" i="5"/>
  <c r="Y67" i="5"/>
  <c r="X67" i="5"/>
  <c r="L67" i="3" s="1"/>
  <c r="W67" i="5"/>
  <c r="V67" i="5"/>
  <c r="J67" i="3" s="1"/>
  <c r="U67" i="5"/>
  <c r="I67" i="3" s="1"/>
  <c r="T67" i="5"/>
  <c r="H67" i="3" s="1"/>
  <c r="S67" i="5"/>
  <c r="R67" i="5"/>
  <c r="Q67" i="5"/>
  <c r="P67" i="5"/>
  <c r="D67" i="3" s="1"/>
  <c r="O67" i="5"/>
  <c r="C67" i="3" s="1"/>
  <c r="N67" i="5"/>
  <c r="K67" i="5"/>
  <c r="J67" i="5"/>
  <c r="I67" i="5"/>
  <c r="H67" i="5"/>
  <c r="H67" i="2" s="1"/>
  <c r="G67" i="5"/>
  <c r="G67" i="2" s="1"/>
  <c r="F67" i="5"/>
  <c r="F67" i="2" s="1"/>
  <c r="E67" i="5"/>
  <c r="D67" i="5"/>
  <c r="D67" i="2" s="1"/>
  <c r="C67" i="5"/>
  <c r="C67" i="2" s="1"/>
  <c r="Y66" i="5"/>
  <c r="X66" i="5"/>
  <c r="W66" i="5"/>
  <c r="V66" i="5"/>
  <c r="U66" i="5"/>
  <c r="T66" i="5"/>
  <c r="S66" i="5"/>
  <c r="R66" i="5"/>
  <c r="Q66" i="5"/>
  <c r="E66" i="3" s="1"/>
  <c r="P66" i="5"/>
  <c r="D66" i="3" s="1"/>
  <c r="O66" i="5"/>
  <c r="C66" i="3" s="1"/>
  <c r="N66" i="5"/>
  <c r="B66" i="3" s="1"/>
  <c r="K66" i="5"/>
  <c r="J66" i="5"/>
  <c r="I66" i="5"/>
  <c r="H66" i="5"/>
  <c r="H66" i="2" s="1"/>
  <c r="G66" i="5"/>
  <c r="F66" i="5"/>
  <c r="E66" i="5"/>
  <c r="D66" i="5"/>
  <c r="C66" i="5"/>
  <c r="Y65" i="5"/>
  <c r="X65" i="5"/>
  <c r="W65" i="5"/>
  <c r="K65" i="3" s="1"/>
  <c r="V65" i="5"/>
  <c r="J65" i="3" s="1"/>
  <c r="U65" i="5"/>
  <c r="I65" i="3" s="1"/>
  <c r="T65" i="5"/>
  <c r="S65" i="5"/>
  <c r="R65" i="5"/>
  <c r="Q65" i="5"/>
  <c r="P65" i="5"/>
  <c r="O65" i="5"/>
  <c r="N65" i="5"/>
  <c r="K65" i="5"/>
  <c r="J65" i="5"/>
  <c r="I65" i="5"/>
  <c r="H65" i="5"/>
  <c r="H65" i="2" s="1"/>
  <c r="G65" i="5"/>
  <c r="F65" i="5"/>
  <c r="E65" i="5"/>
  <c r="D65" i="5"/>
  <c r="D65" i="2" s="1"/>
  <c r="W11" i="2" s="1"/>
  <c r="C65" i="5"/>
  <c r="C65" i="2" s="1"/>
  <c r="V11" i="2" s="1"/>
  <c r="Y64" i="5"/>
  <c r="X64" i="5"/>
  <c r="W64" i="5"/>
  <c r="K64" i="3" s="1"/>
  <c r="V64" i="5"/>
  <c r="J64" i="3" s="1"/>
  <c r="U64" i="5"/>
  <c r="T64" i="5"/>
  <c r="S64" i="5"/>
  <c r="R64" i="5"/>
  <c r="F64" i="3" s="1"/>
  <c r="Q64" i="5"/>
  <c r="P64" i="5"/>
  <c r="O64" i="5"/>
  <c r="N64" i="5"/>
  <c r="K64" i="5"/>
  <c r="J64" i="5"/>
  <c r="J64" i="2" s="1"/>
  <c r="I64" i="5"/>
  <c r="I64" i="2" s="1"/>
  <c r="H64" i="5"/>
  <c r="H64" i="2" s="1"/>
  <c r="G64" i="5"/>
  <c r="F64" i="5"/>
  <c r="E64" i="5"/>
  <c r="D64" i="5"/>
  <c r="C64" i="5"/>
  <c r="Y63" i="5"/>
  <c r="X63" i="5"/>
  <c r="L63" i="3" s="1"/>
  <c r="W63" i="5"/>
  <c r="V63" i="5"/>
  <c r="U63" i="5"/>
  <c r="T63" i="5"/>
  <c r="S63" i="5"/>
  <c r="R63" i="5"/>
  <c r="Q63" i="5"/>
  <c r="E63" i="3" s="1"/>
  <c r="P63" i="5"/>
  <c r="D63" i="3" s="1"/>
  <c r="O63" i="5"/>
  <c r="N63" i="5"/>
  <c r="K63" i="5"/>
  <c r="K63" i="2" s="1"/>
  <c r="J63" i="5"/>
  <c r="J63" i="2" s="1"/>
  <c r="I63" i="5"/>
  <c r="H63" i="5"/>
  <c r="G63" i="5"/>
  <c r="F63" i="5"/>
  <c r="E63" i="5"/>
  <c r="D63" i="5"/>
  <c r="D63" i="2" s="1"/>
  <c r="C63" i="5"/>
  <c r="Y62" i="5"/>
  <c r="X62" i="5"/>
  <c r="W62" i="5"/>
  <c r="V62" i="5"/>
  <c r="U62" i="5"/>
  <c r="T62" i="5"/>
  <c r="H62" i="3" s="1"/>
  <c r="S62" i="5"/>
  <c r="R62" i="5"/>
  <c r="Q62" i="5"/>
  <c r="E62" i="3" s="1"/>
  <c r="P62" i="5"/>
  <c r="O62" i="5"/>
  <c r="N62" i="5"/>
  <c r="K62" i="5"/>
  <c r="J62" i="5"/>
  <c r="I62" i="5"/>
  <c r="H62" i="5"/>
  <c r="G62" i="5"/>
  <c r="F62" i="5"/>
  <c r="E62" i="5"/>
  <c r="D62" i="5"/>
  <c r="C62" i="5"/>
  <c r="Y61" i="5"/>
  <c r="X61" i="5"/>
  <c r="W61" i="5"/>
  <c r="V61" i="5"/>
  <c r="U61" i="5"/>
  <c r="T61" i="5"/>
  <c r="S61" i="5"/>
  <c r="R61" i="5"/>
  <c r="Q61" i="5"/>
  <c r="P61" i="5"/>
  <c r="O61" i="5"/>
  <c r="C61" i="3" s="1"/>
  <c r="N61" i="5"/>
  <c r="K61" i="5"/>
  <c r="K61" i="2" s="1"/>
  <c r="J61" i="5"/>
  <c r="J61" i="2" s="1"/>
  <c r="I61" i="5"/>
  <c r="H61" i="5"/>
  <c r="H61" i="2" s="1"/>
  <c r="G61" i="5"/>
  <c r="G61" i="2" s="1"/>
  <c r="F61" i="5"/>
  <c r="F61" i="2" s="1"/>
  <c r="E61" i="5"/>
  <c r="E61" i="2" s="1"/>
  <c r="D61" i="5"/>
  <c r="C61" i="5"/>
  <c r="Y60" i="5"/>
  <c r="M60" i="3" s="1"/>
  <c r="X60" i="5"/>
  <c r="W60" i="5"/>
  <c r="V60" i="5"/>
  <c r="U60" i="5"/>
  <c r="T60" i="5"/>
  <c r="S60" i="5"/>
  <c r="R60" i="5"/>
  <c r="Q60" i="5"/>
  <c r="P60" i="5"/>
  <c r="D60" i="3" s="1"/>
  <c r="O60" i="5"/>
  <c r="C60" i="3" s="1"/>
  <c r="N60" i="5"/>
  <c r="B60" i="3" s="1"/>
  <c r="K60" i="5"/>
  <c r="J60" i="5"/>
  <c r="I60" i="5"/>
  <c r="H60" i="5"/>
  <c r="G60" i="5"/>
  <c r="F60" i="5"/>
  <c r="E60" i="5"/>
  <c r="D60" i="5"/>
  <c r="C60" i="5"/>
  <c r="Y59" i="5"/>
  <c r="X59" i="5"/>
  <c r="L59" i="3" s="1"/>
  <c r="W59" i="5"/>
  <c r="K59" i="3" s="1"/>
  <c r="V59" i="5"/>
  <c r="J59" i="3" s="1"/>
  <c r="U59" i="5"/>
  <c r="I59" i="3" s="1"/>
  <c r="T59" i="5"/>
  <c r="H59" i="3" s="1"/>
  <c r="S59" i="5"/>
  <c r="R59" i="5"/>
  <c r="Q59" i="5"/>
  <c r="P59" i="5"/>
  <c r="O59" i="5"/>
  <c r="N59" i="5"/>
  <c r="K59" i="5"/>
  <c r="J59" i="5"/>
  <c r="I59" i="5"/>
  <c r="I59" i="2" s="1"/>
  <c r="H59" i="5"/>
  <c r="G59" i="5"/>
  <c r="F59" i="5"/>
  <c r="E59" i="5"/>
  <c r="D59" i="5"/>
  <c r="C59" i="5"/>
  <c r="C59" i="2" s="1"/>
  <c r="Y58" i="5"/>
  <c r="X58" i="5"/>
  <c r="W58" i="5"/>
  <c r="V58" i="5"/>
  <c r="U58" i="5"/>
  <c r="I58" i="3" s="1"/>
  <c r="T58" i="5"/>
  <c r="H58" i="3" s="1"/>
  <c r="S58" i="5"/>
  <c r="R58" i="5"/>
  <c r="Q58" i="5"/>
  <c r="P58" i="5"/>
  <c r="O58" i="5"/>
  <c r="N58" i="5"/>
  <c r="K58" i="5"/>
  <c r="J58" i="5"/>
  <c r="J58" i="2" s="1"/>
  <c r="I58" i="5"/>
  <c r="I58" i="2" s="1"/>
  <c r="H58" i="5"/>
  <c r="H58" i="2" s="1"/>
  <c r="G58" i="5"/>
  <c r="G58" i="2" s="1"/>
  <c r="F58" i="5"/>
  <c r="E58" i="5"/>
  <c r="D58" i="5"/>
  <c r="C58" i="5"/>
  <c r="C58" i="2" s="1"/>
  <c r="Y57" i="5"/>
  <c r="X57" i="5"/>
  <c r="W57" i="5"/>
  <c r="V57" i="5"/>
  <c r="U57" i="5"/>
  <c r="T57" i="5"/>
  <c r="H57" i="3" s="1"/>
  <c r="S57" i="5"/>
  <c r="G57" i="3" s="1"/>
  <c r="R57" i="5"/>
  <c r="Q57" i="5"/>
  <c r="E57" i="3" s="1"/>
  <c r="P57" i="5"/>
  <c r="D57" i="3" s="1"/>
  <c r="O57" i="5"/>
  <c r="C57" i="3" s="1"/>
  <c r="N57" i="5"/>
  <c r="K57" i="5"/>
  <c r="J57" i="5"/>
  <c r="I57" i="5"/>
  <c r="I57" i="2" s="1"/>
  <c r="H57" i="5"/>
  <c r="G57" i="5"/>
  <c r="F57" i="5"/>
  <c r="E57" i="5"/>
  <c r="D57" i="5"/>
  <c r="C57" i="5"/>
  <c r="Y56" i="5"/>
  <c r="M56" i="3" s="1"/>
  <c r="X56" i="5"/>
  <c r="L56" i="3" s="1"/>
  <c r="W56" i="5"/>
  <c r="K56" i="3" s="1"/>
  <c r="V56" i="5"/>
  <c r="J56" i="3" s="1"/>
  <c r="U56" i="5"/>
  <c r="I56" i="3" s="1"/>
  <c r="T56" i="5"/>
  <c r="S56" i="5"/>
  <c r="R56" i="5"/>
  <c r="Q56" i="5"/>
  <c r="P56" i="5"/>
  <c r="O56" i="5"/>
  <c r="N56" i="5"/>
  <c r="K56" i="5"/>
  <c r="J56" i="5"/>
  <c r="J56" i="2" s="1"/>
  <c r="I56" i="5"/>
  <c r="I56" i="2" s="1"/>
  <c r="H56" i="5"/>
  <c r="G56" i="5"/>
  <c r="F56" i="5"/>
  <c r="F56" i="2" s="1"/>
  <c r="E56" i="5"/>
  <c r="D56" i="5"/>
  <c r="D56" i="2" s="1"/>
  <c r="C56" i="5"/>
  <c r="C56" i="2" s="1"/>
  <c r="Y55" i="5"/>
  <c r="X55" i="5"/>
  <c r="W55" i="5"/>
  <c r="K55" i="3" s="1"/>
  <c r="V55" i="5"/>
  <c r="U55" i="5"/>
  <c r="T55" i="5"/>
  <c r="S55" i="5"/>
  <c r="R55" i="5"/>
  <c r="Q55" i="5"/>
  <c r="P55" i="5"/>
  <c r="O55" i="5"/>
  <c r="N55" i="5"/>
  <c r="K55" i="5"/>
  <c r="K55" i="2" s="1"/>
  <c r="J55" i="5"/>
  <c r="J55" i="2" s="1"/>
  <c r="I55" i="5"/>
  <c r="I55" i="2" s="1"/>
  <c r="H55" i="5"/>
  <c r="G55" i="5"/>
  <c r="F55" i="5"/>
  <c r="E55" i="5"/>
  <c r="D55" i="5"/>
  <c r="C55" i="5"/>
  <c r="Y54" i="5"/>
  <c r="X54" i="5"/>
  <c r="W54" i="5"/>
  <c r="V54" i="5"/>
  <c r="U54" i="5"/>
  <c r="I54" i="3" s="1"/>
  <c r="T54" i="5"/>
  <c r="H54" i="3" s="1"/>
  <c r="S54" i="5"/>
  <c r="G54" i="3" s="1"/>
  <c r="R54" i="5"/>
  <c r="F54" i="3" s="1"/>
  <c r="Q54" i="5"/>
  <c r="P54" i="5"/>
  <c r="O54" i="5"/>
  <c r="N54" i="5"/>
  <c r="K54" i="5"/>
  <c r="J54" i="5"/>
  <c r="J54" i="2" s="1"/>
  <c r="I54" i="5"/>
  <c r="H54" i="5"/>
  <c r="G54" i="5"/>
  <c r="F54" i="5"/>
  <c r="E54" i="5"/>
  <c r="E54" i="2" s="1"/>
  <c r="D54" i="5"/>
  <c r="D54" i="2" s="1"/>
  <c r="C54" i="5"/>
  <c r="C54" i="2" s="1"/>
  <c r="Y53" i="5"/>
  <c r="M53" i="3" s="1"/>
  <c r="X53" i="5"/>
  <c r="L53" i="3" s="1"/>
  <c r="W53" i="5"/>
  <c r="K53" i="3" s="1"/>
  <c r="V53" i="5"/>
  <c r="U53" i="5"/>
  <c r="T53" i="5"/>
  <c r="S53" i="5"/>
  <c r="G53" i="3" s="1"/>
  <c r="R53" i="5"/>
  <c r="F53" i="3" s="1"/>
  <c r="Q53" i="5"/>
  <c r="P53" i="5"/>
  <c r="O53" i="5"/>
  <c r="C53" i="3" s="1"/>
  <c r="N53" i="5"/>
  <c r="B53" i="3" s="1"/>
  <c r="K53" i="5"/>
  <c r="J53" i="5"/>
  <c r="I53" i="5"/>
  <c r="H53" i="5"/>
  <c r="G53" i="5"/>
  <c r="G53" i="2" s="1"/>
  <c r="F53" i="5"/>
  <c r="E53" i="5"/>
  <c r="E53" i="2" s="1"/>
  <c r="D53" i="5"/>
  <c r="C53" i="5"/>
  <c r="Y52" i="5"/>
  <c r="M52" i="3" s="1"/>
  <c r="X52" i="5"/>
  <c r="L52" i="3" s="1"/>
  <c r="W52" i="5"/>
  <c r="V52" i="5"/>
  <c r="U52" i="5"/>
  <c r="T52" i="5"/>
  <c r="S52" i="5"/>
  <c r="R52" i="5"/>
  <c r="Q52" i="5"/>
  <c r="E52" i="3" s="1"/>
  <c r="P52" i="5"/>
  <c r="O52" i="5"/>
  <c r="N52" i="5"/>
  <c r="K52" i="5"/>
  <c r="J52" i="5"/>
  <c r="I52" i="5"/>
  <c r="H52" i="5"/>
  <c r="G52" i="5"/>
  <c r="G52" i="2" s="1"/>
  <c r="F52" i="5"/>
  <c r="F52" i="2" s="1"/>
  <c r="E52" i="5"/>
  <c r="D52" i="5"/>
  <c r="C52" i="5"/>
  <c r="Y51" i="5"/>
  <c r="M51" i="3" s="1"/>
  <c r="X51" i="5"/>
  <c r="L51" i="3" s="1"/>
  <c r="W51" i="5"/>
  <c r="V51" i="5"/>
  <c r="U51" i="5"/>
  <c r="T51" i="5"/>
  <c r="S51" i="5"/>
  <c r="R51" i="5"/>
  <c r="Q51" i="5"/>
  <c r="P51" i="5"/>
  <c r="O51" i="5"/>
  <c r="C51" i="3" s="1"/>
  <c r="N51" i="5"/>
  <c r="B51" i="3" s="1"/>
  <c r="K51" i="5"/>
  <c r="J51" i="5"/>
  <c r="I51" i="5"/>
  <c r="H51" i="5"/>
  <c r="H51" i="2" s="1"/>
  <c r="G51" i="5"/>
  <c r="G51" i="2" s="1"/>
  <c r="F51" i="5"/>
  <c r="E51" i="5"/>
  <c r="D51" i="5"/>
  <c r="C51" i="5"/>
  <c r="Y50" i="5"/>
  <c r="M50" i="3" s="1"/>
  <c r="X50" i="5"/>
  <c r="W50" i="5"/>
  <c r="V50" i="5"/>
  <c r="U50" i="5"/>
  <c r="I50" i="3" s="1"/>
  <c r="T50" i="5"/>
  <c r="S50" i="5"/>
  <c r="R50" i="5"/>
  <c r="Q50" i="5"/>
  <c r="P50" i="5"/>
  <c r="O50" i="5"/>
  <c r="N50" i="5"/>
  <c r="K50" i="5"/>
  <c r="J50" i="5"/>
  <c r="I50" i="5"/>
  <c r="H50" i="5"/>
  <c r="H50" i="2" s="1"/>
  <c r="G50" i="5"/>
  <c r="G50" i="2" s="1"/>
  <c r="F50" i="5"/>
  <c r="E50" i="5"/>
  <c r="D50" i="5"/>
  <c r="C50" i="5"/>
  <c r="C50" i="2" s="1"/>
  <c r="Y49" i="5"/>
  <c r="X49" i="5"/>
  <c r="W49" i="5"/>
  <c r="K49" i="3" s="1"/>
  <c r="V49" i="5"/>
  <c r="U49" i="5"/>
  <c r="T49" i="5"/>
  <c r="S49" i="5"/>
  <c r="G49" i="3" s="1"/>
  <c r="R49" i="5"/>
  <c r="Q49" i="5"/>
  <c r="P49" i="5"/>
  <c r="D49" i="3" s="1"/>
  <c r="O49" i="5"/>
  <c r="C49" i="3" s="1"/>
  <c r="N49" i="5"/>
  <c r="K49" i="5"/>
  <c r="J49" i="5"/>
  <c r="I49" i="5"/>
  <c r="H49" i="5"/>
  <c r="G49" i="5"/>
  <c r="F49" i="5"/>
  <c r="E49" i="5"/>
  <c r="D49" i="5"/>
  <c r="C49" i="5"/>
  <c r="Y48" i="5"/>
  <c r="M48" i="3" s="1"/>
  <c r="X48" i="5"/>
  <c r="L48" i="3" s="1"/>
  <c r="W48" i="5"/>
  <c r="V48" i="5"/>
  <c r="U48" i="5"/>
  <c r="T48" i="5"/>
  <c r="S48" i="5"/>
  <c r="R48" i="5"/>
  <c r="Q48" i="5"/>
  <c r="E48" i="3" s="1"/>
  <c r="P48" i="5"/>
  <c r="D48" i="3" s="1"/>
  <c r="O48" i="5"/>
  <c r="N48" i="5"/>
  <c r="K48" i="5"/>
  <c r="J48" i="5"/>
  <c r="I48" i="5"/>
  <c r="I48" i="2" s="1"/>
  <c r="H48" i="5"/>
  <c r="G48" i="5"/>
  <c r="F48" i="5"/>
  <c r="E48" i="5"/>
  <c r="E48" i="2" s="1"/>
  <c r="D48" i="5"/>
  <c r="D48" i="2" s="1"/>
  <c r="C48" i="5"/>
  <c r="C48" i="2" s="1"/>
  <c r="Y47" i="5"/>
  <c r="X47" i="5"/>
  <c r="W47" i="5"/>
  <c r="K47" i="3" s="1"/>
  <c r="V47" i="5"/>
  <c r="J47" i="3" s="1"/>
  <c r="U47" i="5"/>
  <c r="T47" i="5"/>
  <c r="S47" i="5"/>
  <c r="R47" i="5"/>
  <c r="Q47" i="5"/>
  <c r="E47" i="3" s="1"/>
  <c r="P47" i="5"/>
  <c r="O47" i="5"/>
  <c r="N47" i="5"/>
  <c r="K47" i="5"/>
  <c r="J47" i="5"/>
  <c r="I47" i="5"/>
  <c r="H47" i="5"/>
  <c r="G47" i="5"/>
  <c r="F47" i="5"/>
  <c r="E47" i="5"/>
  <c r="E47" i="2" s="1"/>
  <c r="D47" i="5"/>
  <c r="D47" i="2" s="1"/>
  <c r="C47" i="5"/>
  <c r="Y46" i="5"/>
  <c r="X46" i="5"/>
  <c r="W46" i="5"/>
  <c r="K46" i="3" s="1"/>
  <c r="V46" i="5"/>
  <c r="U46" i="5"/>
  <c r="T46" i="5"/>
  <c r="S46" i="5"/>
  <c r="G46" i="3" s="1"/>
  <c r="R46" i="5"/>
  <c r="F46" i="3" s="1"/>
  <c r="Q46" i="5"/>
  <c r="P46" i="5"/>
  <c r="O46" i="5"/>
  <c r="N46" i="5"/>
  <c r="K46" i="5"/>
  <c r="K46" i="2" s="1"/>
  <c r="J46" i="5"/>
  <c r="J46" i="2" s="1"/>
  <c r="I46" i="5"/>
  <c r="H46" i="5"/>
  <c r="H46" i="2" s="1"/>
  <c r="G46" i="5"/>
  <c r="F46" i="5"/>
  <c r="F46" i="2" s="1"/>
  <c r="E46" i="5"/>
  <c r="E46" i="2" s="1"/>
  <c r="D46" i="5"/>
  <c r="C46" i="5"/>
  <c r="Y45" i="5"/>
  <c r="X45" i="5"/>
  <c r="W45" i="5"/>
  <c r="V45" i="5"/>
  <c r="U45" i="5"/>
  <c r="T45" i="5"/>
  <c r="S45" i="5"/>
  <c r="G45" i="3" s="1"/>
  <c r="R45" i="5"/>
  <c r="F45" i="3" s="1"/>
  <c r="Q45" i="5"/>
  <c r="P45" i="5"/>
  <c r="D45" i="3" s="1"/>
  <c r="O45" i="5"/>
  <c r="N45" i="5"/>
  <c r="K45" i="5"/>
  <c r="K45" i="2" s="1"/>
  <c r="J45" i="5"/>
  <c r="I45" i="5"/>
  <c r="H45" i="5"/>
  <c r="G45" i="5"/>
  <c r="G45" i="2" s="1"/>
  <c r="F45" i="5"/>
  <c r="E45" i="5"/>
  <c r="D45" i="5"/>
  <c r="C45" i="5"/>
  <c r="Y44" i="5"/>
  <c r="M44" i="3" s="1"/>
  <c r="X44" i="5"/>
  <c r="L44" i="3" s="1"/>
  <c r="W44" i="5"/>
  <c r="V44" i="5"/>
  <c r="U44" i="5"/>
  <c r="T44" i="5"/>
  <c r="S44" i="5"/>
  <c r="R44" i="5"/>
  <c r="Q44" i="5"/>
  <c r="P44" i="5"/>
  <c r="O44" i="5"/>
  <c r="N44" i="5"/>
  <c r="K44" i="5"/>
  <c r="K44" i="2" s="1"/>
  <c r="J44" i="5"/>
  <c r="I44" i="5"/>
  <c r="H44" i="5"/>
  <c r="G44" i="5"/>
  <c r="G44" i="2" s="1"/>
  <c r="F44" i="5"/>
  <c r="F44" i="2" s="1"/>
  <c r="E44" i="5"/>
  <c r="D44" i="5"/>
  <c r="D44" i="2" s="1"/>
  <c r="C44" i="5"/>
  <c r="Y43" i="5"/>
  <c r="M43" i="3" s="1"/>
  <c r="X43" i="5"/>
  <c r="L43" i="3" s="1"/>
  <c r="W43" i="5"/>
  <c r="K43" i="3" s="1"/>
  <c r="V43" i="5"/>
  <c r="U43" i="5"/>
  <c r="I43" i="3" s="1"/>
  <c r="T43" i="5"/>
  <c r="S43" i="5"/>
  <c r="R43" i="5"/>
  <c r="Q43" i="5"/>
  <c r="P43" i="5"/>
  <c r="O43" i="5"/>
  <c r="N43" i="5"/>
  <c r="K43" i="5"/>
  <c r="J43" i="5"/>
  <c r="I43" i="5"/>
  <c r="H43" i="5"/>
  <c r="G43" i="5"/>
  <c r="G43" i="2" s="1"/>
  <c r="F43" i="5"/>
  <c r="E43" i="5"/>
  <c r="D43" i="5"/>
  <c r="D43" i="2" s="1"/>
  <c r="C43" i="5"/>
  <c r="C43" i="2" s="1"/>
  <c r="Y42" i="5"/>
  <c r="X42" i="5"/>
  <c r="W42" i="5"/>
  <c r="V42" i="5"/>
  <c r="U42" i="5"/>
  <c r="T42" i="5"/>
  <c r="S42" i="5"/>
  <c r="R42" i="5"/>
  <c r="F42" i="3" s="1"/>
  <c r="Q42" i="5"/>
  <c r="E42" i="3" s="1"/>
  <c r="P42" i="5"/>
  <c r="D42" i="3" s="1"/>
  <c r="O42" i="5"/>
  <c r="C42" i="3" s="1"/>
  <c r="N42" i="5"/>
  <c r="B42" i="3" s="1"/>
  <c r="K42" i="5"/>
  <c r="K42" i="2" s="1"/>
  <c r="J42" i="5"/>
  <c r="I42" i="5"/>
  <c r="H42" i="5"/>
  <c r="H42" i="2" s="1"/>
  <c r="G42" i="5"/>
  <c r="G42" i="2" s="1"/>
  <c r="F42" i="5"/>
  <c r="E42" i="5"/>
  <c r="D42" i="5"/>
  <c r="C42" i="5"/>
  <c r="C42" i="2" s="1"/>
  <c r="Y41" i="5"/>
  <c r="X41" i="5"/>
  <c r="W41" i="5"/>
  <c r="V41" i="5"/>
  <c r="J41" i="3" s="1"/>
  <c r="U41" i="5"/>
  <c r="I41" i="3" s="1"/>
  <c r="T41" i="5"/>
  <c r="H41" i="3" s="1"/>
  <c r="S41" i="5"/>
  <c r="G41" i="3" s="1"/>
  <c r="R41" i="5"/>
  <c r="Q41" i="5"/>
  <c r="P41" i="5"/>
  <c r="O41" i="5"/>
  <c r="N41" i="5"/>
  <c r="K41" i="5"/>
  <c r="J41" i="5"/>
  <c r="J41" i="2" s="1"/>
  <c r="I41" i="5"/>
  <c r="H41" i="5"/>
  <c r="G41" i="5"/>
  <c r="F41" i="5"/>
  <c r="E41" i="5"/>
  <c r="E41" i="2" s="1"/>
  <c r="D41" i="5"/>
  <c r="C41" i="5"/>
  <c r="Y40" i="5"/>
  <c r="M40" i="3" s="1"/>
  <c r="X40" i="5"/>
  <c r="W40" i="5"/>
  <c r="V40" i="5"/>
  <c r="U40" i="5"/>
  <c r="I40" i="3" s="1"/>
  <c r="T40" i="5"/>
  <c r="S40" i="5"/>
  <c r="R40" i="5"/>
  <c r="Q40" i="5"/>
  <c r="P40" i="5"/>
  <c r="O40" i="5"/>
  <c r="N40" i="5"/>
  <c r="K40" i="5"/>
  <c r="J40" i="5"/>
  <c r="I40" i="5"/>
  <c r="I40" i="2" s="1"/>
  <c r="H40" i="5"/>
  <c r="H40" i="2" s="1"/>
  <c r="G40" i="5"/>
  <c r="G40" i="2" s="1"/>
  <c r="F40" i="5"/>
  <c r="E40" i="5"/>
  <c r="D40" i="5"/>
  <c r="C40" i="5"/>
  <c r="C40" i="2" s="1"/>
  <c r="Y39" i="5"/>
  <c r="X39" i="5"/>
  <c r="W39" i="5"/>
  <c r="V39" i="5"/>
  <c r="J39" i="3" s="1"/>
  <c r="U39" i="5"/>
  <c r="T39" i="5"/>
  <c r="S39" i="5"/>
  <c r="R39" i="5"/>
  <c r="F39" i="3" s="1"/>
  <c r="Q39" i="5"/>
  <c r="E39" i="3" s="1"/>
  <c r="P39" i="5"/>
  <c r="D39" i="3" s="1"/>
  <c r="O39" i="5"/>
  <c r="C39" i="3" s="1"/>
  <c r="N39" i="5"/>
  <c r="B39" i="3" s="1"/>
  <c r="K39" i="5"/>
  <c r="J39" i="5"/>
  <c r="I39" i="5"/>
  <c r="H39" i="5"/>
  <c r="G39" i="5"/>
  <c r="F39" i="5"/>
  <c r="F39" i="2" s="1"/>
  <c r="E39" i="5"/>
  <c r="D39" i="5"/>
  <c r="C39" i="5"/>
  <c r="Y38" i="5"/>
  <c r="X38" i="5"/>
  <c r="L38" i="3" s="1"/>
  <c r="W38" i="5"/>
  <c r="V38" i="5"/>
  <c r="U38" i="5"/>
  <c r="T38" i="5"/>
  <c r="S38" i="5"/>
  <c r="R38" i="5"/>
  <c r="F38" i="3" s="1"/>
  <c r="Q38" i="5"/>
  <c r="E38" i="3" s="1"/>
  <c r="P38" i="5"/>
  <c r="O38" i="5"/>
  <c r="N38" i="5"/>
  <c r="K38" i="5"/>
  <c r="K38" i="2" s="1"/>
  <c r="J38" i="5"/>
  <c r="I38" i="5"/>
  <c r="H38" i="5"/>
  <c r="G38" i="5"/>
  <c r="F38" i="5"/>
  <c r="F38" i="2" s="1"/>
  <c r="E38" i="5"/>
  <c r="E38" i="2" s="1"/>
  <c r="D38" i="5"/>
  <c r="D38" i="2" s="1"/>
  <c r="C38" i="5"/>
  <c r="C38" i="2" s="1"/>
  <c r="Y37" i="5"/>
  <c r="M37" i="3" s="1"/>
  <c r="X37" i="5"/>
  <c r="W37" i="5"/>
  <c r="V37" i="5"/>
  <c r="U37" i="5"/>
  <c r="T37" i="5"/>
  <c r="S37" i="5"/>
  <c r="R37" i="5"/>
  <c r="Q37" i="5"/>
  <c r="P37" i="5"/>
  <c r="O37" i="5"/>
  <c r="N37" i="5"/>
  <c r="B37" i="3" s="1"/>
  <c r="K37" i="5"/>
  <c r="J37" i="5"/>
  <c r="J37" i="2" s="1"/>
  <c r="I37" i="5"/>
  <c r="I37" i="2" s="1"/>
  <c r="H37" i="5"/>
  <c r="H37" i="2" s="1"/>
  <c r="G37" i="5"/>
  <c r="G37" i="2" s="1"/>
  <c r="F37" i="5"/>
  <c r="E37" i="5"/>
  <c r="D37" i="5"/>
  <c r="C37" i="5"/>
  <c r="Y36" i="5"/>
  <c r="M36" i="3" s="1"/>
  <c r="X36" i="5"/>
  <c r="W36" i="5"/>
  <c r="V36" i="5"/>
  <c r="U36" i="5"/>
  <c r="T36" i="5"/>
  <c r="S36" i="5"/>
  <c r="R36" i="5"/>
  <c r="F36" i="3" s="1"/>
  <c r="Q36" i="5"/>
  <c r="E36" i="3" s="1"/>
  <c r="P36" i="5"/>
  <c r="D36" i="3" s="1"/>
  <c r="O36" i="5"/>
  <c r="C36" i="3" s="1"/>
  <c r="N36" i="5"/>
  <c r="B36" i="3" s="1"/>
  <c r="K36" i="5"/>
  <c r="J36" i="5"/>
  <c r="I36" i="5"/>
  <c r="H36" i="5"/>
  <c r="G36" i="5"/>
  <c r="G36" i="2" s="1"/>
  <c r="F36" i="5"/>
  <c r="E36" i="5"/>
  <c r="D36" i="5"/>
  <c r="D36" i="2" s="1"/>
  <c r="C36" i="5"/>
  <c r="Y35" i="5"/>
  <c r="M35" i="3" s="1"/>
  <c r="X35" i="5"/>
  <c r="W35" i="5"/>
  <c r="V35" i="5"/>
  <c r="J35" i="3" s="1"/>
  <c r="U35" i="5"/>
  <c r="I35" i="3" s="1"/>
  <c r="T35" i="5"/>
  <c r="H35" i="3" s="1"/>
  <c r="S35" i="5"/>
  <c r="R35" i="5"/>
  <c r="Q35" i="5"/>
  <c r="P35" i="5"/>
  <c r="O35" i="5"/>
  <c r="N35" i="5"/>
  <c r="K35" i="5"/>
  <c r="J35" i="5"/>
  <c r="I35" i="5"/>
  <c r="H35" i="5"/>
  <c r="G35" i="5"/>
  <c r="G35" i="2" s="1"/>
  <c r="F35" i="5"/>
  <c r="F35" i="2" s="1"/>
  <c r="E35" i="5"/>
  <c r="E35" i="2" s="1"/>
  <c r="D35" i="5"/>
  <c r="D35" i="2" s="1"/>
  <c r="C35" i="5"/>
  <c r="C35" i="2" s="1"/>
  <c r="Y34" i="5"/>
  <c r="X34" i="5"/>
  <c r="W34" i="5"/>
  <c r="V34" i="5"/>
  <c r="U34" i="5"/>
  <c r="T34" i="5"/>
  <c r="S34" i="5"/>
  <c r="R34" i="5"/>
  <c r="Q34" i="5"/>
  <c r="E34" i="3" s="1"/>
  <c r="P34" i="5"/>
  <c r="O34" i="5"/>
  <c r="N34" i="5"/>
  <c r="K34" i="5"/>
  <c r="J34" i="5"/>
  <c r="I34" i="5"/>
  <c r="I34" i="2" s="1"/>
  <c r="H34" i="5"/>
  <c r="H34" i="2" s="1"/>
  <c r="G34" i="5"/>
  <c r="F34" i="5"/>
  <c r="E34" i="5"/>
  <c r="D34" i="5"/>
  <c r="D34" i="2" s="1"/>
  <c r="C34" i="5"/>
  <c r="C34" i="2" s="1"/>
  <c r="Y33" i="5"/>
  <c r="X33" i="5"/>
  <c r="W33" i="5"/>
  <c r="V33" i="5"/>
  <c r="U33" i="5"/>
  <c r="T33" i="5"/>
  <c r="S33" i="5"/>
  <c r="G33" i="3" s="1"/>
  <c r="R33" i="5"/>
  <c r="F33" i="3" s="1"/>
  <c r="Q33" i="5"/>
  <c r="E33" i="3" s="1"/>
  <c r="P33" i="5"/>
  <c r="D33" i="3" s="1"/>
  <c r="O33" i="5"/>
  <c r="N33" i="5"/>
  <c r="K33" i="5"/>
  <c r="J33" i="5"/>
  <c r="I33" i="5"/>
  <c r="H33" i="5"/>
  <c r="H33" i="2" s="1"/>
  <c r="G33" i="5"/>
  <c r="F33" i="5"/>
  <c r="E33" i="5"/>
  <c r="E33" i="2" s="1"/>
  <c r="D33" i="5"/>
  <c r="C33" i="5"/>
  <c r="Y32" i="5"/>
  <c r="M32" i="3" s="1"/>
  <c r="X32" i="5"/>
  <c r="L32" i="3" s="1"/>
  <c r="W32" i="5"/>
  <c r="K32" i="3" s="1"/>
  <c r="V32" i="5"/>
  <c r="J32" i="3" s="1"/>
  <c r="U32" i="5"/>
  <c r="T32" i="5"/>
  <c r="S32" i="5"/>
  <c r="R32" i="5"/>
  <c r="Q32" i="5"/>
  <c r="P32" i="5"/>
  <c r="O32" i="5"/>
  <c r="N32" i="5"/>
  <c r="K32" i="5"/>
  <c r="J32" i="5"/>
  <c r="I32" i="5"/>
  <c r="H32" i="5"/>
  <c r="H32" i="2" s="1"/>
  <c r="G32" i="5"/>
  <c r="G32" i="2" s="1"/>
  <c r="F32" i="5"/>
  <c r="F32" i="2" s="1"/>
  <c r="E32" i="5"/>
  <c r="E32" i="2" s="1"/>
  <c r="D32" i="5"/>
  <c r="D32" i="2" s="1"/>
  <c r="C32" i="5"/>
  <c r="Y31" i="5"/>
  <c r="X31" i="5"/>
  <c r="W31" i="5"/>
  <c r="V31" i="5"/>
  <c r="J31" i="3" s="1"/>
  <c r="U31" i="5"/>
  <c r="T31" i="5"/>
  <c r="S31" i="5"/>
  <c r="R31" i="5"/>
  <c r="Q31" i="5"/>
  <c r="P31" i="5"/>
  <c r="O31" i="5"/>
  <c r="N31" i="5"/>
  <c r="K31" i="5"/>
  <c r="K31" i="2" s="1"/>
  <c r="J31" i="5"/>
  <c r="J31" i="2" s="1"/>
  <c r="I31" i="5"/>
  <c r="I31" i="2" s="1"/>
  <c r="H31" i="5"/>
  <c r="H31" i="2" s="1"/>
  <c r="G31" i="5"/>
  <c r="F31" i="5"/>
  <c r="F31" i="2" s="1"/>
  <c r="E31" i="5"/>
  <c r="D31" i="5"/>
  <c r="C31" i="5"/>
  <c r="Y30" i="5"/>
  <c r="X30" i="5"/>
  <c r="W30" i="5"/>
  <c r="V30" i="5"/>
  <c r="U30" i="5"/>
  <c r="I30" i="3" s="1"/>
  <c r="T30" i="5"/>
  <c r="H30" i="3" s="1"/>
  <c r="S30" i="5"/>
  <c r="G30" i="3" s="1"/>
  <c r="R30" i="5"/>
  <c r="F30" i="3" s="1"/>
  <c r="Q30" i="5"/>
  <c r="E30" i="3" s="1"/>
  <c r="P30" i="5"/>
  <c r="O30" i="5"/>
  <c r="N30" i="5"/>
  <c r="K30" i="5"/>
  <c r="J30" i="5"/>
  <c r="I30" i="5"/>
  <c r="H30" i="5"/>
  <c r="G30" i="5"/>
  <c r="G30" i="2" s="1"/>
  <c r="F30" i="5"/>
  <c r="E30" i="5"/>
  <c r="E30" i="2" s="1"/>
  <c r="D30" i="5"/>
  <c r="D30" i="2" s="1"/>
  <c r="C30" i="5"/>
  <c r="C30" i="2" s="1"/>
  <c r="Y29" i="5"/>
  <c r="X29" i="5"/>
  <c r="W29" i="5"/>
  <c r="V29" i="5"/>
  <c r="U29" i="5"/>
  <c r="T29" i="5"/>
  <c r="S29" i="5"/>
  <c r="R29" i="5"/>
  <c r="Q29" i="5"/>
  <c r="P29" i="5"/>
  <c r="O29" i="5"/>
  <c r="N29" i="5"/>
  <c r="B29" i="3" s="1"/>
  <c r="K29" i="5"/>
  <c r="K29" i="2" s="1"/>
  <c r="J29" i="5"/>
  <c r="J29" i="2" s="1"/>
  <c r="I29" i="5"/>
  <c r="I29" i="2" s="1"/>
  <c r="H29" i="5"/>
  <c r="H29" i="2" s="1"/>
  <c r="G29" i="5"/>
  <c r="G29" i="2" s="1"/>
  <c r="F29" i="5"/>
  <c r="F29" i="2" s="1"/>
  <c r="E29" i="5"/>
  <c r="E29" i="2" s="1"/>
  <c r="D29" i="5"/>
  <c r="C29" i="5"/>
  <c r="Y28" i="5"/>
  <c r="M28" i="3" s="1"/>
  <c r="X28" i="5"/>
  <c r="W28" i="5"/>
  <c r="V28" i="5"/>
  <c r="U28" i="5"/>
  <c r="T28" i="5"/>
  <c r="H28" i="3" s="1"/>
  <c r="S28" i="5"/>
  <c r="R28" i="5"/>
  <c r="Q28" i="5"/>
  <c r="P28" i="5"/>
  <c r="O28" i="5"/>
  <c r="C28" i="3" s="1"/>
  <c r="N28" i="5"/>
  <c r="B28" i="3" s="1"/>
  <c r="K28" i="5"/>
  <c r="K28" i="2" s="1"/>
  <c r="J28" i="5"/>
  <c r="I28" i="5"/>
  <c r="H28" i="5"/>
  <c r="G28" i="5"/>
  <c r="F28" i="5"/>
  <c r="E28" i="5"/>
  <c r="D28" i="5"/>
  <c r="D28" i="2" s="1"/>
  <c r="C28" i="5"/>
  <c r="C28" i="2" s="1"/>
  <c r="Y27" i="5"/>
  <c r="M27" i="3" s="1"/>
  <c r="X27" i="5"/>
  <c r="W27" i="5"/>
  <c r="V27" i="5"/>
  <c r="J27" i="3" s="1"/>
  <c r="U27" i="5"/>
  <c r="I27" i="3" s="1"/>
  <c r="T27" i="5"/>
  <c r="S27" i="5"/>
  <c r="G27" i="3" s="1"/>
  <c r="R27" i="5"/>
  <c r="Q27" i="5"/>
  <c r="P27" i="5"/>
  <c r="O27" i="5"/>
  <c r="N27" i="5"/>
  <c r="K27" i="5"/>
  <c r="J27" i="5"/>
  <c r="I27" i="5"/>
  <c r="H27" i="5"/>
  <c r="H27" i="2" s="1"/>
  <c r="G27" i="5"/>
  <c r="G27" i="2" s="1"/>
  <c r="F27" i="5"/>
  <c r="E27" i="5"/>
  <c r="D27" i="5"/>
  <c r="C27" i="5"/>
  <c r="C27" i="2" s="1"/>
  <c r="Y26" i="5"/>
  <c r="X26" i="5"/>
  <c r="W26" i="5"/>
  <c r="V26" i="5"/>
  <c r="U26" i="5"/>
  <c r="T26" i="5"/>
  <c r="S26" i="5"/>
  <c r="R26" i="5"/>
  <c r="Q26" i="5"/>
  <c r="E26" i="3" s="1"/>
  <c r="P26" i="5"/>
  <c r="O26" i="5"/>
  <c r="C26" i="3" s="1"/>
  <c r="N26" i="5"/>
  <c r="B26" i="3" s="1"/>
  <c r="K26" i="5"/>
  <c r="K26" i="2" s="1"/>
  <c r="J26" i="5"/>
  <c r="I26" i="5"/>
  <c r="H26" i="5"/>
  <c r="H26" i="2" s="1"/>
  <c r="G26" i="5"/>
  <c r="F26" i="5"/>
  <c r="F26" i="2" s="1"/>
  <c r="E26" i="5"/>
  <c r="D26" i="5"/>
  <c r="C26" i="5"/>
  <c r="Y25" i="5"/>
  <c r="X25" i="5"/>
  <c r="W25" i="5"/>
  <c r="V25" i="5"/>
  <c r="J25" i="3" s="1"/>
  <c r="U25" i="5"/>
  <c r="I25" i="3" s="1"/>
  <c r="T25" i="5"/>
  <c r="H25" i="3" s="1"/>
  <c r="S25" i="5"/>
  <c r="R25" i="5"/>
  <c r="Q25" i="5"/>
  <c r="P25" i="5"/>
  <c r="O25" i="5"/>
  <c r="N25" i="5"/>
  <c r="K25" i="5"/>
  <c r="J25" i="5"/>
  <c r="I25" i="5"/>
  <c r="H25" i="5"/>
  <c r="G25" i="5"/>
  <c r="F25" i="5"/>
  <c r="E25" i="5"/>
  <c r="D25" i="5"/>
  <c r="D25" i="2" s="1"/>
  <c r="C25" i="5"/>
  <c r="C25" i="2" s="1"/>
  <c r="V10" i="2" s="1"/>
  <c r="Y24" i="5"/>
  <c r="M24" i="3" s="1"/>
  <c r="X24" i="5"/>
  <c r="W24" i="5"/>
  <c r="V24" i="5"/>
  <c r="J24" i="3" s="1"/>
  <c r="U24" i="5"/>
  <c r="I24" i="3" s="1"/>
  <c r="T24" i="5"/>
  <c r="S24" i="5"/>
  <c r="R24" i="5"/>
  <c r="Q24" i="5"/>
  <c r="P24" i="5"/>
  <c r="O24" i="5"/>
  <c r="N24" i="5"/>
  <c r="K24" i="5"/>
  <c r="J24" i="5"/>
  <c r="I24" i="5"/>
  <c r="I24" i="2" s="1"/>
  <c r="H24" i="5"/>
  <c r="H24" i="2" s="1"/>
  <c r="G24" i="5"/>
  <c r="G24" i="2" s="1"/>
  <c r="F24" i="5"/>
  <c r="F24" i="2" s="1"/>
  <c r="E24" i="5"/>
  <c r="D24" i="5"/>
  <c r="C24" i="5"/>
  <c r="C24" i="2" s="1"/>
  <c r="Y23" i="5"/>
  <c r="X23" i="5"/>
  <c r="W23" i="5"/>
  <c r="V23" i="5"/>
  <c r="J23" i="3" s="1"/>
  <c r="U23" i="5"/>
  <c r="T23" i="5"/>
  <c r="S23" i="5"/>
  <c r="R23" i="5"/>
  <c r="Q23" i="5"/>
  <c r="P23" i="5"/>
  <c r="D23" i="3" s="1"/>
  <c r="O23" i="5"/>
  <c r="C23" i="3" s="1"/>
  <c r="N23" i="5"/>
  <c r="B23" i="3" s="1"/>
  <c r="K23" i="5"/>
  <c r="K23" i="2" s="1"/>
  <c r="J23" i="5"/>
  <c r="J23" i="2" s="1"/>
  <c r="I23" i="5"/>
  <c r="I23" i="2" s="1"/>
  <c r="H23" i="5"/>
  <c r="G23" i="5"/>
  <c r="F23" i="5"/>
  <c r="F23" i="2" s="1"/>
  <c r="E23" i="5"/>
  <c r="E23" i="2" s="1"/>
  <c r="D23" i="5"/>
  <c r="D23" i="2" s="1"/>
  <c r="C23" i="5"/>
  <c r="Y22" i="5"/>
  <c r="X22" i="5"/>
  <c r="W22" i="5"/>
  <c r="V22" i="5"/>
  <c r="U22" i="5"/>
  <c r="I22" i="3" s="1"/>
  <c r="T22" i="5"/>
  <c r="H22" i="3" s="1"/>
  <c r="S22" i="5"/>
  <c r="R22" i="5"/>
  <c r="F22" i="3" s="1"/>
  <c r="Q22" i="5"/>
  <c r="E22" i="3" s="1"/>
  <c r="P22" i="5"/>
  <c r="O22" i="5"/>
  <c r="N22" i="5"/>
  <c r="K22" i="5"/>
  <c r="J22" i="5"/>
  <c r="I22" i="5"/>
  <c r="H22" i="5"/>
  <c r="G22" i="5"/>
  <c r="F22" i="5"/>
  <c r="E22" i="5"/>
  <c r="D22" i="5"/>
  <c r="C22" i="5"/>
  <c r="C22" i="2" s="1"/>
  <c r="Y21" i="5"/>
  <c r="X21" i="5"/>
  <c r="W21" i="5"/>
  <c r="V21" i="5"/>
  <c r="U21" i="5"/>
  <c r="T21" i="5"/>
  <c r="S21" i="5"/>
  <c r="G21" i="3" s="1"/>
  <c r="R21" i="5"/>
  <c r="Q21" i="5"/>
  <c r="P21" i="5"/>
  <c r="O21" i="5"/>
  <c r="N21" i="5"/>
  <c r="B21" i="3" s="1"/>
  <c r="K21" i="5"/>
  <c r="K21" i="2" s="1"/>
  <c r="J21" i="5"/>
  <c r="J21" i="2" s="1"/>
  <c r="I21" i="5"/>
  <c r="I21" i="2" s="1"/>
  <c r="H21" i="5"/>
  <c r="H21" i="2" s="1"/>
  <c r="G21" i="5"/>
  <c r="G21" i="2" s="1"/>
  <c r="F21" i="5"/>
  <c r="F21" i="2" s="1"/>
  <c r="E21" i="5"/>
  <c r="E21" i="2" s="1"/>
  <c r="D21" i="5"/>
  <c r="C21" i="5"/>
  <c r="Y20" i="5"/>
  <c r="M20" i="3" s="1"/>
  <c r="X20" i="5"/>
  <c r="W20" i="5"/>
  <c r="V20" i="5"/>
  <c r="U20" i="5"/>
  <c r="T20" i="5"/>
  <c r="S20" i="5"/>
  <c r="R20" i="5"/>
  <c r="Q20" i="5"/>
  <c r="P20" i="5"/>
  <c r="D20" i="3" s="1"/>
  <c r="O20" i="5"/>
  <c r="C20" i="3" s="1"/>
  <c r="N20" i="5"/>
  <c r="B20" i="3" s="1"/>
  <c r="K20" i="5"/>
  <c r="J20" i="5"/>
  <c r="I20" i="5"/>
  <c r="H20" i="5"/>
  <c r="G20" i="5"/>
  <c r="F20" i="5"/>
  <c r="E20" i="5"/>
  <c r="D20" i="5"/>
  <c r="D20" i="2" s="1"/>
  <c r="C20" i="5"/>
  <c r="Y19" i="5"/>
  <c r="X19" i="5"/>
  <c r="W19" i="5"/>
  <c r="K19" i="3" s="1"/>
  <c r="V19" i="5"/>
  <c r="J19" i="3" s="1"/>
  <c r="U19" i="5"/>
  <c r="I19" i="3" s="1"/>
  <c r="T19" i="5"/>
  <c r="H19" i="3" s="1"/>
  <c r="S19" i="5"/>
  <c r="G19" i="3" s="1"/>
  <c r="R19" i="5"/>
  <c r="Q19" i="5"/>
  <c r="P19" i="5"/>
  <c r="O19" i="5"/>
  <c r="N19" i="5"/>
  <c r="K19" i="5"/>
  <c r="J19" i="5"/>
  <c r="I19" i="5"/>
  <c r="I19" i="2" s="1"/>
  <c r="H19" i="5"/>
  <c r="H19" i="2" s="1"/>
  <c r="G19" i="5"/>
  <c r="G19" i="2" s="1"/>
  <c r="F19" i="5"/>
  <c r="F19" i="2" s="1"/>
  <c r="E19" i="5"/>
  <c r="E19" i="2" s="1"/>
  <c r="D19" i="5"/>
  <c r="D19" i="2" s="1"/>
  <c r="C19" i="5"/>
  <c r="C19" i="2" s="1"/>
  <c r="Y18" i="5"/>
  <c r="X18" i="5"/>
  <c r="W18" i="5"/>
  <c r="V18" i="5"/>
  <c r="U18" i="5"/>
  <c r="I18" i="3" s="1"/>
  <c r="T18" i="5"/>
  <c r="H18" i="3" s="1"/>
  <c r="S18" i="5"/>
  <c r="R18" i="5"/>
  <c r="Q18" i="5"/>
  <c r="P18" i="5"/>
  <c r="O18" i="5"/>
  <c r="N18" i="5"/>
  <c r="K18" i="5"/>
  <c r="J18" i="5"/>
  <c r="J18" i="2" s="1"/>
  <c r="I18" i="5"/>
  <c r="I18" i="2" s="1"/>
  <c r="H18" i="5"/>
  <c r="H18" i="2" s="1"/>
  <c r="G18" i="5"/>
  <c r="G18" i="2" s="1"/>
  <c r="F18" i="5"/>
  <c r="E18" i="5"/>
  <c r="D18" i="5"/>
  <c r="C18" i="5"/>
  <c r="Y17" i="5"/>
  <c r="X17" i="5"/>
  <c r="W17" i="5"/>
  <c r="V17" i="5"/>
  <c r="U17" i="5"/>
  <c r="I17" i="3" s="1"/>
  <c r="T17" i="5"/>
  <c r="H17" i="3" s="1"/>
  <c r="S17" i="5"/>
  <c r="G17" i="3" s="1"/>
  <c r="R17" i="5"/>
  <c r="F17" i="3" s="1"/>
  <c r="Q17" i="5"/>
  <c r="E17" i="3" s="1"/>
  <c r="P17" i="5"/>
  <c r="D17" i="3" s="1"/>
  <c r="O17" i="5"/>
  <c r="C17" i="3" s="1"/>
  <c r="N17" i="5"/>
  <c r="K17" i="5"/>
  <c r="J17" i="5"/>
  <c r="J17" i="2" s="1"/>
  <c r="I17" i="5"/>
  <c r="I17" i="2" s="1"/>
  <c r="H17" i="5"/>
  <c r="H17" i="2" s="1"/>
  <c r="G17" i="5"/>
  <c r="F17" i="5"/>
  <c r="E17" i="5"/>
  <c r="D17" i="5"/>
  <c r="C17" i="5"/>
  <c r="Y16" i="5"/>
  <c r="X16" i="5"/>
  <c r="W16" i="5"/>
  <c r="V16" i="5"/>
  <c r="U16" i="5"/>
  <c r="T16" i="5"/>
  <c r="S16" i="5"/>
  <c r="R16" i="5"/>
  <c r="Q16" i="5"/>
  <c r="E16" i="3" s="1"/>
  <c r="P16" i="5"/>
  <c r="D16" i="3" s="1"/>
  <c r="O16" i="5"/>
  <c r="N16" i="5"/>
  <c r="K16" i="5"/>
  <c r="J16" i="5"/>
  <c r="I16" i="5"/>
  <c r="H16" i="5"/>
  <c r="G16" i="5"/>
  <c r="F16" i="5"/>
  <c r="F16" i="2" s="1"/>
  <c r="E16" i="5"/>
  <c r="E16" i="2" s="1"/>
  <c r="D16" i="5"/>
  <c r="D16" i="2" s="1"/>
  <c r="C16" i="5"/>
  <c r="C16" i="2" s="1"/>
  <c r="Y15" i="5"/>
  <c r="X15" i="5"/>
  <c r="W15" i="5"/>
  <c r="V15" i="5"/>
  <c r="U15" i="5"/>
  <c r="T15" i="5"/>
  <c r="S15" i="5"/>
  <c r="R15" i="5"/>
  <c r="Q15" i="5"/>
  <c r="P15" i="5"/>
  <c r="O15" i="5"/>
  <c r="N15" i="5"/>
  <c r="B15" i="3" s="1"/>
  <c r="K15" i="5"/>
  <c r="K15" i="2" s="1"/>
  <c r="J15" i="5"/>
  <c r="I15" i="5"/>
  <c r="I15" i="2" s="1"/>
  <c r="H15" i="5"/>
  <c r="G15" i="5"/>
  <c r="F15" i="5"/>
  <c r="F15" i="2" s="1"/>
  <c r="E15" i="5"/>
  <c r="E15" i="2" s="1"/>
  <c r="D15" i="5"/>
  <c r="D15" i="2" s="1"/>
  <c r="C15" i="5"/>
  <c r="Y14" i="5"/>
  <c r="M14" i="3" s="1"/>
  <c r="X14" i="5"/>
  <c r="W14" i="5"/>
  <c r="V14" i="5"/>
  <c r="J14" i="3" s="1"/>
  <c r="U14" i="5"/>
  <c r="I14" i="3" s="1"/>
  <c r="T14" i="5"/>
  <c r="S14" i="5"/>
  <c r="G14" i="3" s="1"/>
  <c r="R14" i="5"/>
  <c r="F14" i="3" s="1"/>
  <c r="Q14" i="5"/>
  <c r="E14" i="3" s="1"/>
  <c r="P14" i="5"/>
  <c r="O14" i="5"/>
  <c r="N14" i="5"/>
  <c r="K14" i="5"/>
  <c r="J14" i="5"/>
  <c r="I14" i="5"/>
  <c r="H14" i="5"/>
  <c r="G14" i="5"/>
  <c r="G14" i="2" s="1"/>
  <c r="F14" i="5"/>
  <c r="E14" i="5"/>
  <c r="E14" i="2" s="1"/>
  <c r="D14" i="5"/>
  <c r="D14" i="2" s="1"/>
  <c r="C14" i="5"/>
  <c r="Y13" i="5"/>
  <c r="X13" i="5"/>
  <c r="W13" i="5"/>
  <c r="V13" i="5"/>
  <c r="U13" i="5"/>
  <c r="T13" i="5"/>
  <c r="S13" i="5"/>
  <c r="G13" i="3" s="1"/>
  <c r="R13" i="5"/>
  <c r="F13" i="3" s="1"/>
  <c r="Q13" i="5"/>
  <c r="P13" i="5"/>
  <c r="O13" i="5"/>
  <c r="N13" i="5"/>
  <c r="K13" i="5"/>
  <c r="J13" i="5"/>
  <c r="J13" i="2" s="1"/>
  <c r="I13" i="5"/>
  <c r="H13" i="5"/>
  <c r="H13" i="2" s="1"/>
  <c r="G13" i="5"/>
  <c r="G13" i="2" s="1"/>
  <c r="F13" i="5"/>
  <c r="F13" i="2" s="1"/>
  <c r="E13" i="5"/>
  <c r="E13" i="2" s="1"/>
  <c r="D13" i="5"/>
  <c r="C13" i="5"/>
  <c r="Y12" i="5"/>
  <c r="M12" i="3" s="1"/>
  <c r="X12" i="5"/>
  <c r="L12" i="3" s="1"/>
  <c r="W12" i="5"/>
  <c r="V12" i="5"/>
  <c r="U12" i="5"/>
  <c r="T12" i="5"/>
  <c r="S12" i="5"/>
  <c r="R12" i="5"/>
  <c r="F12" i="3" s="1"/>
  <c r="Q12" i="5"/>
  <c r="E12" i="3" s="1"/>
  <c r="P12" i="5"/>
  <c r="O12" i="5"/>
  <c r="N12" i="5"/>
  <c r="B12" i="3" s="1"/>
  <c r="K12" i="5"/>
  <c r="K12" i="2" s="1"/>
  <c r="J12" i="5"/>
  <c r="I12" i="5"/>
  <c r="H12" i="5"/>
  <c r="H12" i="2" s="1"/>
  <c r="G12" i="5"/>
  <c r="G12" i="2" s="1"/>
  <c r="F12" i="5"/>
  <c r="E12" i="5"/>
  <c r="D12" i="5"/>
  <c r="C12" i="5"/>
  <c r="Y11" i="5"/>
  <c r="X11" i="5"/>
  <c r="W11" i="5"/>
  <c r="V11" i="5"/>
  <c r="U11" i="5"/>
  <c r="T11" i="5"/>
  <c r="S11" i="5"/>
  <c r="G11" i="3" s="1"/>
  <c r="R11" i="5"/>
  <c r="Q11" i="5"/>
  <c r="P11" i="5"/>
  <c r="O11" i="5"/>
  <c r="C11" i="3" s="1"/>
  <c r="N11" i="5"/>
  <c r="B11" i="3" s="1"/>
  <c r="K11" i="5"/>
  <c r="J11" i="5"/>
  <c r="I11" i="5"/>
  <c r="I11" i="2" s="1"/>
  <c r="H11" i="5"/>
  <c r="H11" i="2" s="1"/>
  <c r="G11" i="5"/>
  <c r="F11" i="5"/>
  <c r="F11" i="2" s="1"/>
  <c r="E11" i="5"/>
  <c r="D11" i="5"/>
  <c r="C11" i="5"/>
  <c r="Y10" i="5"/>
  <c r="M10" i="3" s="1"/>
  <c r="X10" i="5"/>
  <c r="W10" i="5"/>
  <c r="V10" i="5"/>
  <c r="U10" i="5"/>
  <c r="T10" i="5"/>
  <c r="H10" i="3" s="1"/>
  <c r="S10" i="5"/>
  <c r="R10" i="5"/>
  <c r="Q10" i="5"/>
  <c r="P10" i="5"/>
  <c r="O10" i="5"/>
  <c r="N10" i="5"/>
  <c r="K10" i="5"/>
  <c r="K10" i="2" s="1"/>
  <c r="J10" i="5"/>
  <c r="J10" i="2" s="1"/>
  <c r="I10" i="5"/>
  <c r="I10" i="2" s="1"/>
  <c r="H10" i="5"/>
  <c r="H10" i="2" s="1"/>
  <c r="G10" i="5"/>
  <c r="G10" i="2" s="1"/>
  <c r="F10" i="5"/>
  <c r="E10" i="5"/>
  <c r="D10" i="5"/>
  <c r="D10" i="2" s="1"/>
  <c r="C10" i="5"/>
  <c r="C10" i="2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Y9" i="5"/>
  <c r="X9" i="5"/>
  <c r="W9" i="5"/>
  <c r="V9" i="5"/>
  <c r="J9" i="3" s="1"/>
  <c r="U9" i="5"/>
  <c r="I9" i="3" s="1"/>
  <c r="T9" i="5"/>
  <c r="S9" i="5"/>
  <c r="R9" i="5"/>
  <c r="Q9" i="5"/>
  <c r="P9" i="5"/>
  <c r="O9" i="5"/>
  <c r="N9" i="5"/>
  <c r="K9" i="5"/>
  <c r="J9" i="5"/>
  <c r="I9" i="5"/>
  <c r="I9" i="2" s="1"/>
  <c r="H9" i="5"/>
  <c r="H9" i="2" s="1"/>
  <c r="G9" i="5"/>
  <c r="F9" i="5"/>
  <c r="E9" i="5"/>
  <c r="E9" i="2" s="1"/>
  <c r="X70" i="2" s="1"/>
  <c r="D9" i="5"/>
  <c r="C9" i="5"/>
  <c r="A16" i="7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5" i="7"/>
  <c r="A13" i="7"/>
  <c r="A14" i="7" s="1"/>
  <c r="A10" i="7"/>
  <c r="A11" i="7" s="1"/>
  <c r="A12" i="7" s="1"/>
  <c r="C9" i="7"/>
  <c r="K105" i="2"/>
  <c r="AU73" i="2" s="1"/>
  <c r="J105" i="2"/>
  <c r="AW73" i="2" s="1"/>
  <c r="I105" i="2"/>
  <c r="H105" i="2"/>
  <c r="V44" i="2" s="1"/>
  <c r="G105" i="2"/>
  <c r="F105" i="2"/>
  <c r="E105" i="2"/>
  <c r="C105" i="2"/>
  <c r="V12" i="2" s="1"/>
  <c r="K104" i="2"/>
  <c r="J104" i="2"/>
  <c r="I104" i="2"/>
  <c r="H104" i="2"/>
  <c r="G104" i="2"/>
  <c r="F104" i="2"/>
  <c r="E104" i="2"/>
  <c r="D104" i="2"/>
  <c r="K103" i="2"/>
  <c r="J103" i="2"/>
  <c r="H103" i="2"/>
  <c r="G103" i="2"/>
  <c r="F103" i="2"/>
  <c r="E103" i="2"/>
  <c r="D103" i="2"/>
  <c r="C103" i="2"/>
  <c r="K102" i="2"/>
  <c r="J102" i="2"/>
  <c r="I102" i="2"/>
  <c r="H102" i="2"/>
  <c r="G102" i="2"/>
  <c r="E102" i="2"/>
  <c r="D102" i="2"/>
  <c r="C102" i="2"/>
  <c r="K101" i="2"/>
  <c r="J101" i="2"/>
  <c r="I101" i="2"/>
  <c r="H101" i="2"/>
  <c r="G101" i="2"/>
  <c r="F101" i="2"/>
  <c r="E101" i="2"/>
  <c r="D101" i="2"/>
  <c r="C101" i="2"/>
  <c r="K100" i="2"/>
  <c r="J100" i="2"/>
  <c r="I100" i="2"/>
  <c r="H100" i="2"/>
  <c r="G100" i="2"/>
  <c r="F100" i="2"/>
  <c r="E100" i="2"/>
  <c r="C100" i="2"/>
  <c r="K99" i="2"/>
  <c r="I99" i="2"/>
  <c r="G99" i="2"/>
  <c r="F99" i="2"/>
  <c r="E99" i="2"/>
  <c r="C99" i="2"/>
  <c r="K98" i="2"/>
  <c r="J98" i="2"/>
  <c r="I98" i="2"/>
  <c r="H98" i="2"/>
  <c r="F98" i="2"/>
  <c r="E98" i="2"/>
  <c r="D98" i="2"/>
  <c r="C98" i="2"/>
  <c r="K97" i="2"/>
  <c r="J97" i="2"/>
  <c r="I97" i="2"/>
  <c r="H97" i="2"/>
  <c r="G97" i="2"/>
  <c r="F97" i="2"/>
  <c r="E97" i="2"/>
  <c r="D97" i="2"/>
  <c r="C97" i="2"/>
  <c r="K96" i="2"/>
  <c r="I96" i="2"/>
  <c r="H96" i="2"/>
  <c r="G96" i="2"/>
  <c r="F96" i="2"/>
  <c r="E96" i="2"/>
  <c r="C96" i="2"/>
  <c r="J95" i="2"/>
  <c r="H95" i="2"/>
  <c r="G95" i="2"/>
  <c r="F95" i="2"/>
  <c r="E95" i="2"/>
  <c r="D95" i="2"/>
  <c r="C95" i="2"/>
  <c r="K94" i="2"/>
  <c r="J94" i="2"/>
  <c r="I94" i="2"/>
  <c r="G94" i="2"/>
  <c r="E94" i="2"/>
  <c r="C94" i="2"/>
  <c r="K93" i="2"/>
  <c r="I93" i="2"/>
  <c r="H93" i="2"/>
  <c r="G93" i="2"/>
  <c r="F93" i="2"/>
  <c r="E93" i="2"/>
  <c r="D93" i="2"/>
  <c r="C93" i="2"/>
  <c r="K92" i="2"/>
  <c r="J92" i="2"/>
  <c r="I92" i="2"/>
  <c r="H92" i="2"/>
  <c r="G92" i="2"/>
  <c r="F92" i="2"/>
  <c r="E92" i="2"/>
  <c r="C92" i="2"/>
  <c r="K91" i="2"/>
  <c r="G91" i="2"/>
  <c r="E91" i="2"/>
  <c r="D91" i="2"/>
  <c r="C91" i="2"/>
  <c r="K90" i="2"/>
  <c r="J90" i="2"/>
  <c r="I90" i="2"/>
  <c r="H90" i="2"/>
  <c r="G90" i="2"/>
  <c r="E90" i="2"/>
  <c r="D90" i="2"/>
  <c r="C90" i="2"/>
  <c r="K89" i="2"/>
  <c r="J89" i="2"/>
  <c r="I89" i="2"/>
  <c r="H89" i="2"/>
  <c r="G89" i="2"/>
  <c r="F89" i="2"/>
  <c r="E89" i="2"/>
  <c r="D89" i="2"/>
  <c r="C89" i="2"/>
  <c r="K88" i="2"/>
  <c r="J88" i="2"/>
  <c r="I88" i="2"/>
  <c r="G88" i="2"/>
  <c r="F88" i="2"/>
  <c r="E88" i="2"/>
  <c r="D88" i="2"/>
  <c r="C88" i="2"/>
  <c r="J87" i="2"/>
  <c r="I87" i="2"/>
  <c r="H87" i="2"/>
  <c r="G87" i="2"/>
  <c r="F87" i="2"/>
  <c r="E87" i="2"/>
  <c r="D87" i="2"/>
  <c r="C87" i="2"/>
  <c r="K86" i="2"/>
  <c r="I86" i="2"/>
  <c r="G86" i="2"/>
  <c r="F86" i="2"/>
  <c r="E86" i="2"/>
  <c r="C86" i="2"/>
  <c r="K85" i="2"/>
  <c r="I85" i="2"/>
  <c r="F85" i="2"/>
  <c r="E85" i="2"/>
  <c r="D85" i="2"/>
  <c r="C85" i="2"/>
  <c r="K84" i="2"/>
  <c r="J84" i="2"/>
  <c r="I84" i="2"/>
  <c r="H84" i="2"/>
  <c r="G84" i="2"/>
  <c r="F84" i="2"/>
  <c r="E84" i="2"/>
  <c r="K83" i="2"/>
  <c r="G83" i="2"/>
  <c r="F83" i="2"/>
  <c r="E83" i="2"/>
  <c r="D83" i="2"/>
  <c r="C83" i="2"/>
  <c r="K82" i="2"/>
  <c r="I82" i="2"/>
  <c r="G82" i="2"/>
  <c r="F82" i="2"/>
  <c r="E82" i="2"/>
  <c r="C82" i="2"/>
  <c r="K81" i="2"/>
  <c r="I81" i="2"/>
  <c r="H81" i="2"/>
  <c r="G81" i="2"/>
  <c r="C81" i="2"/>
  <c r="K80" i="2"/>
  <c r="J80" i="2"/>
  <c r="I80" i="2"/>
  <c r="G80" i="2"/>
  <c r="E80" i="2"/>
  <c r="D80" i="2"/>
  <c r="C80" i="2"/>
  <c r="K79" i="2"/>
  <c r="J79" i="2"/>
  <c r="I79" i="2"/>
  <c r="H79" i="2"/>
  <c r="G79" i="2"/>
  <c r="F79" i="2"/>
  <c r="D79" i="2"/>
  <c r="C79" i="2"/>
  <c r="K78" i="2"/>
  <c r="I78" i="2"/>
  <c r="G78" i="2"/>
  <c r="F78" i="2"/>
  <c r="E78" i="2"/>
  <c r="D78" i="2"/>
  <c r="C78" i="2"/>
  <c r="K77" i="2"/>
  <c r="J77" i="2"/>
  <c r="I77" i="2"/>
  <c r="H77" i="2"/>
  <c r="G77" i="2"/>
  <c r="E77" i="2"/>
  <c r="D77" i="2"/>
  <c r="C77" i="2"/>
  <c r="K76" i="2"/>
  <c r="J76" i="2"/>
  <c r="I76" i="2"/>
  <c r="H76" i="2"/>
  <c r="G76" i="2"/>
  <c r="F76" i="2"/>
  <c r="E76" i="2"/>
  <c r="D76" i="2"/>
  <c r="C76" i="2"/>
  <c r="K75" i="2"/>
  <c r="J75" i="2"/>
  <c r="H75" i="2"/>
  <c r="F75" i="2"/>
  <c r="E75" i="2"/>
  <c r="C75" i="2"/>
  <c r="K74" i="2"/>
  <c r="J74" i="2"/>
  <c r="I74" i="2"/>
  <c r="H74" i="2"/>
  <c r="G74" i="2"/>
  <c r="E74" i="2"/>
  <c r="D74" i="2"/>
  <c r="C74" i="2"/>
  <c r="AV73" i="2"/>
  <c r="K73" i="2"/>
  <c r="I73" i="2"/>
  <c r="H73" i="2"/>
  <c r="G73" i="2"/>
  <c r="C73" i="2"/>
  <c r="I72" i="2"/>
  <c r="H72" i="2"/>
  <c r="G72" i="2"/>
  <c r="E72" i="2"/>
  <c r="D72" i="2"/>
  <c r="K71" i="2"/>
  <c r="J71" i="2"/>
  <c r="I71" i="2"/>
  <c r="H71" i="2"/>
  <c r="G71" i="2"/>
  <c r="C71" i="2"/>
  <c r="W70" i="2"/>
  <c r="K70" i="2"/>
  <c r="J70" i="2"/>
  <c r="I70" i="2"/>
  <c r="H70" i="2"/>
  <c r="F70" i="2"/>
  <c r="E70" i="2"/>
  <c r="D70" i="2"/>
  <c r="C70" i="2"/>
  <c r="J69" i="2"/>
  <c r="I69" i="2"/>
  <c r="E69" i="2"/>
  <c r="D69" i="2"/>
  <c r="C69" i="2"/>
  <c r="K68" i="2"/>
  <c r="J68" i="2"/>
  <c r="I68" i="2"/>
  <c r="H68" i="2"/>
  <c r="G68" i="2"/>
  <c r="F68" i="2"/>
  <c r="E68" i="2"/>
  <c r="D68" i="2"/>
  <c r="C68" i="2"/>
  <c r="K67" i="2"/>
  <c r="J67" i="2"/>
  <c r="I67" i="2"/>
  <c r="E67" i="2"/>
  <c r="K66" i="2"/>
  <c r="J66" i="2"/>
  <c r="I66" i="2"/>
  <c r="G66" i="2"/>
  <c r="F66" i="2"/>
  <c r="E66" i="2"/>
  <c r="D66" i="2"/>
  <c r="C66" i="2"/>
  <c r="K65" i="2"/>
  <c r="J65" i="2"/>
  <c r="I65" i="2"/>
  <c r="Y11" i="2" s="1"/>
  <c r="G65" i="2"/>
  <c r="F65" i="2"/>
  <c r="E65" i="2"/>
  <c r="X11" i="2" s="1"/>
  <c r="K64" i="2"/>
  <c r="G64" i="2"/>
  <c r="F64" i="2"/>
  <c r="E64" i="2"/>
  <c r="D64" i="2"/>
  <c r="C64" i="2"/>
  <c r="I63" i="2"/>
  <c r="H63" i="2"/>
  <c r="G63" i="2"/>
  <c r="F63" i="2"/>
  <c r="E63" i="2"/>
  <c r="C63" i="2"/>
  <c r="K62" i="2"/>
  <c r="J62" i="2"/>
  <c r="I62" i="2"/>
  <c r="H62" i="2"/>
  <c r="G62" i="2"/>
  <c r="F62" i="2"/>
  <c r="E62" i="2"/>
  <c r="D62" i="2"/>
  <c r="C62" i="2"/>
  <c r="I61" i="2"/>
  <c r="D61" i="2"/>
  <c r="C61" i="2"/>
  <c r="K60" i="2"/>
  <c r="J60" i="2"/>
  <c r="I60" i="2"/>
  <c r="H60" i="2"/>
  <c r="G60" i="2"/>
  <c r="F60" i="2"/>
  <c r="E60" i="2"/>
  <c r="D60" i="2"/>
  <c r="C60" i="2"/>
  <c r="K59" i="2"/>
  <c r="J59" i="2"/>
  <c r="H59" i="2"/>
  <c r="G59" i="2"/>
  <c r="F59" i="2"/>
  <c r="E59" i="2"/>
  <c r="D59" i="2"/>
  <c r="K58" i="2"/>
  <c r="F58" i="2"/>
  <c r="E58" i="2"/>
  <c r="D58" i="2"/>
  <c r="K57" i="2"/>
  <c r="J57" i="2"/>
  <c r="H57" i="2"/>
  <c r="G57" i="2"/>
  <c r="F57" i="2"/>
  <c r="E57" i="2"/>
  <c r="D57" i="2"/>
  <c r="C57" i="2"/>
  <c r="K56" i="2"/>
  <c r="H56" i="2"/>
  <c r="G56" i="2"/>
  <c r="E56" i="2"/>
  <c r="H55" i="2"/>
  <c r="G55" i="2"/>
  <c r="F55" i="2"/>
  <c r="E55" i="2"/>
  <c r="D55" i="2"/>
  <c r="C55" i="2"/>
  <c r="K54" i="2"/>
  <c r="I54" i="2"/>
  <c r="H54" i="2"/>
  <c r="G54" i="2"/>
  <c r="F54" i="2"/>
  <c r="K53" i="2"/>
  <c r="J53" i="2"/>
  <c r="I53" i="2"/>
  <c r="H53" i="2"/>
  <c r="F53" i="2"/>
  <c r="D53" i="2"/>
  <c r="C53" i="2"/>
  <c r="K52" i="2"/>
  <c r="J52" i="2"/>
  <c r="I52" i="2"/>
  <c r="H52" i="2"/>
  <c r="E52" i="2"/>
  <c r="D52" i="2"/>
  <c r="C52" i="2"/>
  <c r="K51" i="2"/>
  <c r="J51" i="2"/>
  <c r="I51" i="2"/>
  <c r="F51" i="2"/>
  <c r="E51" i="2"/>
  <c r="D51" i="2"/>
  <c r="C51" i="2"/>
  <c r="K50" i="2"/>
  <c r="J50" i="2"/>
  <c r="I50" i="2"/>
  <c r="F50" i="2"/>
  <c r="E50" i="2"/>
  <c r="D50" i="2"/>
  <c r="K49" i="2"/>
  <c r="J49" i="2"/>
  <c r="I49" i="2"/>
  <c r="H49" i="2"/>
  <c r="G49" i="2"/>
  <c r="F49" i="2"/>
  <c r="E49" i="2"/>
  <c r="D49" i="2"/>
  <c r="C49" i="2"/>
  <c r="K48" i="2"/>
  <c r="J48" i="2"/>
  <c r="H48" i="2"/>
  <c r="G48" i="2"/>
  <c r="F48" i="2"/>
  <c r="K47" i="2"/>
  <c r="J47" i="2"/>
  <c r="I47" i="2"/>
  <c r="H47" i="2"/>
  <c r="G47" i="2"/>
  <c r="F47" i="2"/>
  <c r="C47" i="2"/>
  <c r="I46" i="2"/>
  <c r="G46" i="2"/>
  <c r="D46" i="2"/>
  <c r="C46" i="2"/>
  <c r="J45" i="2"/>
  <c r="I45" i="2"/>
  <c r="H45" i="2"/>
  <c r="F45" i="2"/>
  <c r="E45" i="2"/>
  <c r="D45" i="2"/>
  <c r="C45" i="2"/>
  <c r="U44" i="2"/>
  <c r="J44" i="2"/>
  <c r="I44" i="2"/>
  <c r="H44" i="2"/>
  <c r="E44" i="2"/>
  <c r="C44" i="2"/>
  <c r="K43" i="2"/>
  <c r="J43" i="2"/>
  <c r="I43" i="2"/>
  <c r="H43" i="2"/>
  <c r="F43" i="2"/>
  <c r="E43" i="2"/>
  <c r="J42" i="2"/>
  <c r="I42" i="2"/>
  <c r="F42" i="2"/>
  <c r="E42" i="2"/>
  <c r="D42" i="2"/>
  <c r="K41" i="2"/>
  <c r="I41" i="2"/>
  <c r="H41" i="2"/>
  <c r="G41" i="2"/>
  <c r="F41" i="2"/>
  <c r="D41" i="2"/>
  <c r="C41" i="2"/>
  <c r="K40" i="2"/>
  <c r="J40" i="2"/>
  <c r="F40" i="2"/>
  <c r="E40" i="2"/>
  <c r="D40" i="2"/>
  <c r="K39" i="2"/>
  <c r="J39" i="2"/>
  <c r="I39" i="2"/>
  <c r="H39" i="2"/>
  <c r="G39" i="2"/>
  <c r="E39" i="2"/>
  <c r="D39" i="2"/>
  <c r="C39" i="2"/>
  <c r="J38" i="2"/>
  <c r="I38" i="2"/>
  <c r="H38" i="2"/>
  <c r="G38" i="2"/>
  <c r="K37" i="2"/>
  <c r="F37" i="2"/>
  <c r="E37" i="2"/>
  <c r="D37" i="2"/>
  <c r="C37" i="2"/>
  <c r="K36" i="2"/>
  <c r="J36" i="2"/>
  <c r="I36" i="2"/>
  <c r="H36" i="2"/>
  <c r="F36" i="2"/>
  <c r="E36" i="2"/>
  <c r="C36" i="2"/>
  <c r="K35" i="2"/>
  <c r="J35" i="2"/>
  <c r="I35" i="2"/>
  <c r="H35" i="2"/>
  <c r="K34" i="2"/>
  <c r="J34" i="2"/>
  <c r="G34" i="2"/>
  <c r="F34" i="2"/>
  <c r="E34" i="2"/>
  <c r="K33" i="2"/>
  <c r="J33" i="2"/>
  <c r="I33" i="2"/>
  <c r="G33" i="2"/>
  <c r="F33" i="2"/>
  <c r="D33" i="2"/>
  <c r="C33" i="2"/>
  <c r="K32" i="2"/>
  <c r="J32" i="2"/>
  <c r="I32" i="2"/>
  <c r="C32" i="2"/>
  <c r="G31" i="2"/>
  <c r="E31" i="2"/>
  <c r="D31" i="2"/>
  <c r="C31" i="2"/>
  <c r="K30" i="2"/>
  <c r="J30" i="2"/>
  <c r="I30" i="2"/>
  <c r="H30" i="2"/>
  <c r="F30" i="2"/>
  <c r="D29" i="2"/>
  <c r="C29" i="2"/>
  <c r="J28" i="2"/>
  <c r="I28" i="2"/>
  <c r="H28" i="2"/>
  <c r="G28" i="2"/>
  <c r="F28" i="2"/>
  <c r="E28" i="2"/>
  <c r="K27" i="2"/>
  <c r="J27" i="2"/>
  <c r="I27" i="2"/>
  <c r="F27" i="2"/>
  <c r="E27" i="2"/>
  <c r="D27" i="2"/>
  <c r="J26" i="2"/>
  <c r="I26" i="2"/>
  <c r="G26" i="2"/>
  <c r="E26" i="2"/>
  <c r="D26" i="2"/>
  <c r="C26" i="2"/>
  <c r="K25" i="2"/>
  <c r="J25" i="2"/>
  <c r="I25" i="2"/>
  <c r="H25" i="2"/>
  <c r="G25" i="2"/>
  <c r="F25" i="2"/>
  <c r="E25" i="2"/>
  <c r="X10" i="2" s="1"/>
  <c r="K24" i="2"/>
  <c r="J24" i="2"/>
  <c r="E24" i="2"/>
  <c r="D24" i="2"/>
  <c r="H23" i="2"/>
  <c r="G23" i="2"/>
  <c r="C23" i="2"/>
  <c r="K22" i="2"/>
  <c r="J22" i="2"/>
  <c r="I22" i="2"/>
  <c r="H22" i="2"/>
  <c r="G22" i="2"/>
  <c r="F22" i="2"/>
  <c r="E22" i="2"/>
  <c r="D22" i="2"/>
  <c r="D21" i="2"/>
  <c r="C21" i="2"/>
  <c r="K20" i="2"/>
  <c r="J20" i="2"/>
  <c r="I20" i="2"/>
  <c r="H20" i="2"/>
  <c r="G20" i="2"/>
  <c r="F20" i="2"/>
  <c r="E20" i="2"/>
  <c r="C20" i="2"/>
  <c r="K19" i="2"/>
  <c r="J19" i="2"/>
  <c r="K18" i="2"/>
  <c r="F18" i="2"/>
  <c r="E18" i="2"/>
  <c r="D18" i="2"/>
  <c r="C18" i="2"/>
  <c r="K17" i="2"/>
  <c r="G17" i="2"/>
  <c r="F17" i="2"/>
  <c r="E17" i="2"/>
  <c r="D17" i="2"/>
  <c r="C17" i="2"/>
  <c r="K16" i="2"/>
  <c r="J16" i="2"/>
  <c r="I16" i="2"/>
  <c r="H16" i="2"/>
  <c r="G16" i="2"/>
  <c r="J15" i="2"/>
  <c r="H15" i="2"/>
  <c r="G15" i="2"/>
  <c r="C15" i="2"/>
  <c r="K14" i="2"/>
  <c r="J14" i="2"/>
  <c r="I14" i="2"/>
  <c r="H14" i="2"/>
  <c r="F14" i="2"/>
  <c r="C14" i="2"/>
  <c r="K13" i="2"/>
  <c r="I13" i="2"/>
  <c r="D13" i="2"/>
  <c r="C13" i="2"/>
  <c r="Y12" i="2"/>
  <c r="X12" i="2"/>
  <c r="W12" i="2"/>
  <c r="J12" i="2"/>
  <c r="I12" i="2"/>
  <c r="F12" i="2"/>
  <c r="E12" i="2"/>
  <c r="D12" i="2"/>
  <c r="C12" i="2"/>
  <c r="K11" i="2"/>
  <c r="J11" i="2"/>
  <c r="G11" i="2"/>
  <c r="E11" i="2"/>
  <c r="D11" i="2"/>
  <c r="C11" i="2"/>
  <c r="Y10" i="2"/>
  <c r="W10" i="2"/>
  <c r="F10" i="2"/>
  <c r="E10" i="2"/>
  <c r="A10" i="2"/>
  <c r="X9" i="2"/>
  <c r="W9" i="2"/>
  <c r="V9" i="2"/>
  <c r="K9" i="2"/>
  <c r="J9" i="2"/>
  <c r="G9" i="2"/>
  <c r="F9" i="2"/>
  <c r="D9" i="2"/>
  <c r="C9" i="2"/>
  <c r="M105" i="3"/>
  <c r="L105" i="3"/>
  <c r="K105" i="3"/>
  <c r="J105" i="3"/>
  <c r="R53" i="3" s="1"/>
  <c r="I105" i="3"/>
  <c r="S51" i="3" s="1"/>
  <c r="S63" i="3" s="1"/>
  <c r="H105" i="3"/>
  <c r="R51" i="3" s="1"/>
  <c r="S58" i="3" s="1"/>
  <c r="G105" i="3"/>
  <c r="F105" i="3"/>
  <c r="E105" i="3"/>
  <c r="S47" i="3" s="1"/>
  <c r="D105" i="3"/>
  <c r="R47" i="3" s="1"/>
  <c r="C105" i="3"/>
  <c r="B105" i="3"/>
  <c r="M104" i="3"/>
  <c r="L104" i="3"/>
  <c r="K104" i="3"/>
  <c r="J104" i="3"/>
  <c r="H104" i="3"/>
  <c r="G104" i="3"/>
  <c r="F104" i="3"/>
  <c r="E104" i="3"/>
  <c r="D104" i="3"/>
  <c r="C104" i="3"/>
  <c r="B104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M102" i="3"/>
  <c r="L102" i="3"/>
  <c r="K102" i="3"/>
  <c r="J102" i="3"/>
  <c r="I102" i="3"/>
  <c r="H102" i="3"/>
  <c r="G102" i="3"/>
  <c r="F102" i="3"/>
  <c r="E102" i="3"/>
  <c r="C102" i="3"/>
  <c r="B102" i="3"/>
  <c r="L101" i="3"/>
  <c r="K101" i="3"/>
  <c r="J101" i="3"/>
  <c r="I101" i="3"/>
  <c r="H101" i="3"/>
  <c r="G101" i="3"/>
  <c r="F101" i="3"/>
  <c r="E101" i="3"/>
  <c r="D101" i="3"/>
  <c r="C101" i="3"/>
  <c r="B101" i="3"/>
  <c r="M100" i="3"/>
  <c r="L100" i="3"/>
  <c r="K100" i="3"/>
  <c r="I100" i="3"/>
  <c r="G100" i="3"/>
  <c r="F100" i="3"/>
  <c r="E100" i="3"/>
  <c r="C100" i="3"/>
  <c r="B100" i="3"/>
  <c r="M99" i="3"/>
  <c r="L99" i="3"/>
  <c r="K99" i="3"/>
  <c r="J99" i="3"/>
  <c r="I99" i="3"/>
  <c r="H99" i="3"/>
  <c r="G99" i="3"/>
  <c r="F99" i="3"/>
  <c r="E99" i="3"/>
  <c r="C99" i="3"/>
  <c r="B99" i="3"/>
  <c r="M98" i="3"/>
  <c r="L98" i="3"/>
  <c r="K98" i="3"/>
  <c r="J98" i="3"/>
  <c r="I98" i="3"/>
  <c r="H98" i="3"/>
  <c r="G98" i="3"/>
  <c r="F98" i="3"/>
  <c r="E98" i="3"/>
  <c r="D98" i="3"/>
  <c r="C98" i="3"/>
  <c r="M97" i="3"/>
  <c r="K97" i="3"/>
  <c r="I97" i="3"/>
  <c r="H97" i="3"/>
  <c r="G97" i="3"/>
  <c r="F97" i="3"/>
  <c r="E97" i="3"/>
  <c r="D97" i="3"/>
  <c r="C97" i="3"/>
  <c r="B97" i="3"/>
  <c r="M96" i="3"/>
  <c r="L96" i="3"/>
  <c r="K96" i="3"/>
  <c r="H96" i="3"/>
  <c r="G96" i="3"/>
  <c r="F96" i="3"/>
  <c r="E96" i="3"/>
  <c r="C96" i="3"/>
  <c r="M95" i="3"/>
  <c r="L95" i="3"/>
  <c r="K95" i="3"/>
  <c r="J95" i="3"/>
  <c r="I95" i="3"/>
  <c r="H95" i="3"/>
  <c r="G95" i="3"/>
  <c r="F95" i="3"/>
  <c r="E95" i="3"/>
  <c r="D95" i="3"/>
  <c r="C95" i="3"/>
  <c r="B95" i="3"/>
  <c r="M94" i="3"/>
  <c r="K94" i="3"/>
  <c r="I94" i="3"/>
  <c r="H94" i="3"/>
  <c r="G94" i="3"/>
  <c r="F94" i="3"/>
  <c r="E94" i="3"/>
  <c r="D94" i="3"/>
  <c r="C94" i="3"/>
  <c r="B94" i="3"/>
  <c r="K93" i="3"/>
  <c r="J93" i="3"/>
  <c r="I93" i="3"/>
  <c r="H93" i="3"/>
  <c r="G93" i="3"/>
  <c r="F93" i="3"/>
  <c r="E93" i="3"/>
  <c r="C93" i="3"/>
  <c r="B93" i="3"/>
  <c r="M92" i="3"/>
  <c r="L92" i="3"/>
  <c r="K92" i="3"/>
  <c r="J92" i="3"/>
  <c r="I92" i="3"/>
  <c r="G92" i="3"/>
  <c r="F92" i="3"/>
  <c r="E92" i="3"/>
  <c r="D92" i="3"/>
  <c r="C92" i="3"/>
  <c r="B92" i="3"/>
  <c r="M91" i="3"/>
  <c r="K91" i="3"/>
  <c r="J91" i="3"/>
  <c r="I91" i="3"/>
  <c r="H91" i="3"/>
  <c r="G91" i="3"/>
  <c r="F91" i="3"/>
  <c r="E91" i="3"/>
  <c r="C91" i="3"/>
  <c r="B91" i="3"/>
  <c r="M90" i="3"/>
  <c r="L90" i="3"/>
  <c r="K90" i="3"/>
  <c r="J90" i="3"/>
  <c r="I90" i="3"/>
  <c r="H90" i="3"/>
  <c r="G90" i="3"/>
  <c r="E90" i="3"/>
  <c r="C90" i="3"/>
  <c r="B90" i="3"/>
  <c r="M89" i="3"/>
  <c r="K89" i="3"/>
  <c r="J89" i="3"/>
  <c r="I89" i="3"/>
  <c r="H89" i="3"/>
  <c r="G89" i="3"/>
  <c r="F89" i="3"/>
  <c r="E89" i="3"/>
  <c r="D89" i="3"/>
  <c r="C89" i="3"/>
  <c r="B89" i="3"/>
  <c r="M88" i="3"/>
  <c r="L88" i="3"/>
  <c r="K88" i="3"/>
  <c r="J88" i="3"/>
  <c r="H88" i="3"/>
  <c r="G88" i="3"/>
  <c r="F88" i="3"/>
  <c r="E88" i="3"/>
  <c r="D88" i="3"/>
  <c r="C88" i="3"/>
  <c r="B88" i="3"/>
  <c r="M87" i="3"/>
  <c r="L87" i="3"/>
  <c r="K87" i="3"/>
  <c r="J87" i="3"/>
  <c r="I87" i="3"/>
  <c r="G87" i="3"/>
  <c r="F87" i="3"/>
  <c r="E87" i="3"/>
  <c r="D87" i="3"/>
  <c r="C87" i="3"/>
  <c r="B87" i="3"/>
  <c r="M86" i="3"/>
  <c r="L86" i="3"/>
  <c r="K86" i="3"/>
  <c r="J86" i="3"/>
  <c r="I86" i="3"/>
  <c r="H86" i="3"/>
  <c r="G86" i="3"/>
  <c r="F86" i="3"/>
  <c r="E86" i="3"/>
  <c r="D86" i="3"/>
  <c r="C86" i="3"/>
  <c r="B86" i="3"/>
  <c r="L85" i="3"/>
  <c r="K85" i="3"/>
  <c r="J85" i="3"/>
  <c r="I85" i="3"/>
  <c r="H85" i="3"/>
  <c r="G85" i="3"/>
  <c r="F85" i="3"/>
  <c r="E85" i="3"/>
  <c r="D85" i="3"/>
  <c r="C85" i="3"/>
  <c r="B85" i="3"/>
  <c r="M84" i="3"/>
  <c r="L84" i="3"/>
  <c r="K84" i="3"/>
  <c r="H84" i="3"/>
  <c r="G84" i="3"/>
  <c r="E84" i="3"/>
  <c r="D84" i="3"/>
  <c r="C84" i="3"/>
  <c r="B84" i="3"/>
  <c r="M83" i="3"/>
  <c r="L83" i="3"/>
  <c r="K83" i="3"/>
  <c r="J83" i="3"/>
  <c r="I83" i="3"/>
  <c r="H83" i="3"/>
  <c r="G83" i="3"/>
  <c r="F83" i="3"/>
  <c r="E83" i="3"/>
  <c r="D83" i="3"/>
  <c r="C83" i="3"/>
  <c r="B83" i="3"/>
  <c r="M82" i="3"/>
  <c r="L82" i="3"/>
  <c r="K82" i="3"/>
  <c r="J82" i="3"/>
  <c r="I82" i="3"/>
  <c r="H82" i="3"/>
  <c r="G82" i="3"/>
  <c r="F82" i="3"/>
  <c r="E82" i="3"/>
  <c r="D82" i="3"/>
  <c r="C82" i="3"/>
  <c r="M81" i="3"/>
  <c r="L81" i="3"/>
  <c r="K81" i="3"/>
  <c r="I81" i="3"/>
  <c r="H81" i="3"/>
  <c r="G81" i="3"/>
  <c r="F81" i="3"/>
  <c r="E81" i="3"/>
  <c r="D81" i="3"/>
  <c r="C81" i="3"/>
  <c r="B81" i="3"/>
  <c r="M80" i="3"/>
  <c r="L80" i="3"/>
  <c r="K80" i="3"/>
  <c r="J80" i="3"/>
  <c r="H80" i="3"/>
  <c r="G80" i="3"/>
  <c r="E80" i="3"/>
  <c r="C80" i="3"/>
  <c r="B80" i="3"/>
  <c r="M79" i="3"/>
  <c r="L79" i="3"/>
  <c r="K79" i="3"/>
  <c r="J79" i="3"/>
  <c r="I79" i="3"/>
  <c r="H79" i="3"/>
  <c r="G79" i="3"/>
  <c r="F79" i="3"/>
  <c r="D79" i="3"/>
  <c r="C79" i="3"/>
  <c r="M78" i="3"/>
  <c r="L78" i="3"/>
  <c r="I78" i="3"/>
  <c r="H78" i="3"/>
  <c r="G78" i="3"/>
  <c r="F78" i="3"/>
  <c r="E78" i="3"/>
  <c r="D78" i="3"/>
  <c r="C78" i="3"/>
  <c r="B78" i="3"/>
  <c r="L77" i="3"/>
  <c r="K77" i="3"/>
  <c r="J77" i="3"/>
  <c r="I77" i="3"/>
  <c r="G77" i="3"/>
  <c r="E77" i="3"/>
  <c r="D77" i="3"/>
  <c r="M76" i="3"/>
  <c r="L76" i="3"/>
  <c r="K76" i="3"/>
  <c r="J76" i="3"/>
  <c r="H76" i="3"/>
  <c r="G76" i="3"/>
  <c r="F76" i="3"/>
  <c r="E76" i="3"/>
  <c r="D76" i="3"/>
  <c r="B76" i="3"/>
  <c r="L75" i="3"/>
  <c r="K75" i="3"/>
  <c r="J75" i="3"/>
  <c r="I75" i="3"/>
  <c r="H75" i="3"/>
  <c r="G75" i="3"/>
  <c r="F75" i="3"/>
  <c r="E75" i="3"/>
  <c r="D75" i="3"/>
  <c r="B75" i="3"/>
  <c r="M74" i="3"/>
  <c r="L74" i="3"/>
  <c r="K74" i="3"/>
  <c r="H74" i="3"/>
  <c r="G74" i="3"/>
  <c r="F74" i="3"/>
  <c r="E74" i="3"/>
  <c r="D74" i="3"/>
  <c r="C74" i="3"/>
  <c r="M73" i="3"/>
  <c r="L73" i="3"/>
  <c r="I73" i="3"/>
  <c r="H73" i="3"/>
  <c r="G73" i="3"/>
  <c r="F73" i="3"/>
  <c r="D73" i="3"/>
  <c r="C73" i="3"/>
  <c r="B73" i="3"/>
  <c r="M72" i="3"/>
  <c r="L72" i="3"/>
  <c r="J72" i="3"/>
  <c r="H72" i="3"/>
  <c r="G72" i="3"/>
  <c r="F72" i="3"/>
  <c r="E72" i="3"/>
  <c r="D72" i="3"/>
  <c r="C72" i="3"/>
  <c r="B72" i="3"/>
  <c r="M71" i="3"/>
  <c r="K71" i="3"/>
  <c r="I71" i="3"/>
  <c r="H71" i="3"/>
  <c r="G71" i="3"/>
  <c r="F71" i="3"/>
  <c r="D71" i="3"/>
  <c r="C71" i="3"/>
  <c r="B71" i="3"/>
  <c r="M70" i="3"/>
  <c r="I70" i="3"/>
  <c r="H70" i="3"/>
  <c r="F70" i="3"/>
  <c r="E70" i="3"/>
  <c r="D70" i="3"/>
  <c r="C70" i="3"/>
  <c r="B70" i="3"/>
  <c r="L69" i="3"/>
  <c r="K69" i="3"/>
  <c r="J69" i="3"/>
  <c r="I69" i="3"/>
  <c r="H69" i="3"/>
  <c r="E69" i="3"/>
  <c r="D69" i="3"/>
  <c r="C69" i="3"/>
  <c r="M68" i="3"/>
  <c r="L68" i="3"/>
  <c r="K68" i="3"/>
  <c r="J68" i="3"/>
  <c r="G68" i="3"/>
  <c r="F68" i="3"/>
  <c r="E68" i="3"/>
  <c r="D68" i="3"/>
  <c r="C68" i="3"/>
  <c r="B68" i="3"/>
  <c r="M67" i="3"/>
  <c r="K67" i="3"/>
  <c r="G67" i="3"/>
  <c r="F67" i="3"/>
  <c r="E67" i="3"/>
  <c r="B67" i="3"/>
  <c r="M66" i="3"/>
  <c r="L66" i="3"/>
  <c r="K66" i="3"/>
  <c r="J66" i="3"/>
  <c r="I66" i="3"/>
  <c r="H66" i="3"/>
  <c r="G66" i="3"/>
  <c r="F66" i="3"/>
  <c r="M65" i="3"/>
  <c r="L65" i="3"/>
  <c r="H65" i="3"/>
  <c r="G65" i="3"/>
  <c r="F65" i="3"/>
  <c r="E65" i="3"/>
  <c r="D65" i="3"/>
  <c r="C65" i="3"/>
  <c r="B65" i="3"/>
  <c r="M64" i="3"/>
  <c r="L64" i="3"/>
  <c r="I64" i="3"/>
  <c r="H64" i="3"/>
  <c r="G64" i="3"/>
  <c r="E64" i="3"/>
  <c r="D64" i="3"/>
  <c r="C64" i="3"/>
  <c r="B64" i="3"/>
  <c r="R63" i="3"/>
  <c r="M63" i="3"/>
  <c r="K63" i="3"/>
  <c r="J63" i="3"/>
  <c r="I63" i="3"/>
  <c r="H63" i="3"/>
  <c r="G63" i="3"/>
  <c r="F63" i="3"/>
  <c r="C63" i="3"/>
  <c r="B63" i="3"/>
  <c r="M62" i="3"/>
  <c r="L62" i="3"/>
  <c r="K62" i="3"/>
  <c r="J62" i="3"/>
  <c r="I62" i="3"/>
  <c r="G62" i="3"/>
  <c r="F62" i="3"/>
  <c r="D62" i="3"/>
  <c r="C62" i="3"/>
  <c r="B62" i="3"/>
  <c r="M61" i="3"/>
  <c r="L61" i="3"/>
  <c r="K61" i="3"/>
  <c r="J61" i="3"/>
  <c r="I61" i="3"/>
  <c r="H61" i="3"/>
  <c r="G61" i="3"/>
  <c r="F61" i="3"/>
  <c r="E61" i="3"/>
  <c r="D61" i="3"/>
  <c r="B61" i="3"/>
  <c r="L60" i="3"/>
  <c r="K60" i="3"/>
  <c r="J60" i="3"/>
  <c r="I60" i="3"/>
  <c r="H60" i="3"/>
  <c r="G60" i="3"/>
  <c r="F60" i="3"/>
  <c r="E60" i="3"/>
  <c r="M59" i="3"/>
  <c r="G59" i="3"/>
  <c r="F59" i="3"/>
  <c r="E59" i="3"/>
  <c r="D59" i="3"/>
  <c r="C59" i="3"/>
  <c r="B59" i="3"/>
  <c r="M58" i="3"/>
  <c r="L58" i="3"/>
  <c r="K58" i="3"/>
  <c r="J58" i="3"/>
  <c r="G58" i="3"/>
  <c r="F58" i="3"/>
  <c r="E58" i="3"/>
  <c r="D58" i="3"/>
  <c r="C58" i="3"/>
  <c r="B58" i="3"/>
  <c r="M57" i="3"/>
  <c r="L57" i="3"/>
  <c r="K57" i="3"/>
  <c r="J57" i="3"/>
  <c r="I57" i="3"/>
  <c r="F57" i="3"/>
  <c r="B57" i="3"/>
  <c r="H56" i="3"/>
  <c r="G56" i="3"/>
  <c r="F56" i="3"/>
  <c r="E56" i="3"/>
  <c r="D56" i="3"/>
  <c r="C56" i="3"/>
  <c r="B56" i="3"/>
  <c r="M55" i="3"/>
  <c r="L55" i="3"/>
  <c r="J55" i="3"/>
  <c r="I55" i="3"/>
  <c r="H55" i="3"/>
  <c r="G55" i="3"/>
  <c r="F55" i="3"/>
  <c r="E55" i="3"/>
  <c r="D55" i="3"/>
  <c r="C55" i="3"/>
  <c r="B55" i="3"/>
  <c r="M54" i="3"/>
  <c r="L54" i="3"/>
  <c r="K54" i="3"/>
  <c r="J54" i="3"/>
  <c r="E54" i="3"/>
  <c r="D54" i="3"/>
  <c r="C54" i="3"/>
  <c r="B54" i="3"/>
  <c r="S53" i="3"/>
  <c r="J53" i="3"/>
  <c r="I53" i="3"/>
  <c r="H53" i="3"/>
  <c r="E53" i="3"/>
  <c r="D53" i="3"/>
  <c r="S52" i="3"/>
  <c r="R52" i="3"/>
  <c r="K52" i="3"/>
  <c r="J52" i="3"/>
  <c r="I52" i="3"/>
  <c r="H52" i="3"/>
  <c r="G52" i="3"/>
  <c r="F52" i="3"/>
  <c r="D52" i="3"/>
  <c r="C52" i="3"/>
  <c r="B52" i="3"/>
  <c r="K51" i="3"/>
  <c r="J51" i="3"/>
  <c r="I51" i="3"/>
  <c r="H51" i="3"/>
  <c r="G51" i="3"/>
  <c r="F51" i="3"/>
  <c r="E51" i="3"/>
  <c r="D51" i="3"/>
  <c r="L50" i="3"/>
  <c r="K50" i="3"/>
  <c r="J50" i="3"/>
  <c r="H50" i="3"/>
  <c r="G50" i="3"/>
  <c r="F50" i="3"/>
  <c r="E50" i="3"/>
  <c r="D50" i="3"/>
  <c r="C50" i="3"/>
  <c r="B50" i="3"/>
  <c r="M49" i="3"/>
  <c r="L49" i="3"/>
  <c r="J49" i="3"/>
  <c r="I49" i="3"/>
  <c r="H49" i="3"/>
  <c r="F49" i="3"/>
  <c r="E49" i="3"/>
  <c r="B49" i="3"/>
  <c r="K48" i="3"/>
  <c r="J48" i="3"/>
  <c r="I48" i="3"/>
  <c r="H48" i="3"/>
  <c r="G48" i="3"/>
  <c r="F48" i="3"/>
  <c r="C48" i="3"/>
  <c r="B48" i="3"/>
  <c r="M47" i="3"/>
  <c r="L47" i="3"/>
  <c r="I47" i="3"/>
  <c r="H47" i="3"/>
  <c r="G47" i="3"/>
  <c r="F47" i="3"/>
  <c r="D47" i="3"/>
  <c r="C47" i="3"/>
  <c r="B47" i="3"/>
  <c r="S46" i="3"/>
  <c r="R46" i="3"/>
  <c r="R58" i="3" s="1"/>
  <c r="M46" i="3"/>
  <c r="L46" i="3"/>
  <c r="J46" i="3"/>
  <c r="I46" i="3"/>
  <c r="H46" i="3"/>
  <c r="E46" i="3"/>
  <c r="D46" i="3"/>
  <c r="C46" i="3"/>
  <c r="B46" i="3"/>
  <c r="S45" i="3"/>
  <c r="R64" i="3" s="1"/>
  <c r="R45" i="3"/>
  <c r="M45" i="3"/>
  <c r="L45" i="3"/>
  <c r="K45" i="3"/>
  <c r="J45" i="3"/>
  <c r="I45" i="3"/>
  <c r="H45" i="3"/>
  <c r="E45" i="3"/>
  <c r="C45" i="3"/>
  <c r="B45" i="3"/>
  <c r="K44" i="3"/>
  <c r="J44" i="3"/>
  <c r="I44" i="3"/>
  <c r="H44" i="3"/>
  <c r="G44" i="3"/>
  <c r="F44" i="3"/>
  <c r="E44" i="3"/>
  <c r="D44" i="3"/>
  <c r="C44" i="3"/>
  <c r="B44" i="3"/>
  <c r="J43" i="3"/>
  <c r="H43" i="3"/>
  <c r="G43" i="3"/>
  <c r="F43" i="3"/>
  <c r="E43" i="3"/>
  <c r="D43" i="3"/>
  <c r="C43" i="3"/>
  <c r="B43" i="3"/>
  <c r="M42" i="3"/>
  <c r="L42" i="3"/>
  <c r="K42" i="3"/>
  <c r="J42" i="3"/>
  <c r="I42" i="3"/>
  <c r="H42" i="3"/>
  <c r="G42" i="3"/>
  <c r="M41" i="3"/>
  <c r="L41" i="3"/>
  <c r="K41" i="3"/>
  <c r="F41" i="3"/>
  <c r="E41" i="3"/>
  <c r="D41" i="3"/>
  <c r="C41" i="3"/>
  <c r="B41" i="3"/>
  <c r="L40" i="3"/>
  <c r="K40" i="3"/>
  <c r="J40" i="3"/>
  <c r="H40" i="3"/>
  <c r="G40" i="3"/>
  <c r="F40" i="3"/>
  <c r="E40" i="3"/>
  <c r="D40" i="3"/>
  <c r="C40" i="3"/>
  <c r="B40" i="3"/>
  <c r="M39" i="3"/>
  <c r="L39" i="3"/>
  <c r="K39" i="3"/>
  <c r="I39" i="3"/>
  <c r="H39" i="3"/>
  <c r="G39" i="3"/>
  <c r="M38" i="3"/>
  <c r="K38" i="3"/>
  <c r="J38" i="3"/>
  <c r="I38" i="3"/>
  <c r="H38" i="3"/>
  <c r="G38" i="3"/>
  <c r="D38" i="3"/>
  <c r="C38" i="3"/>
  <c r="B38" i="3"/>
  <c r="L37" i="3"/>
  <c r="K37" i="3"/>
  <c r="J37" i="3"/>
  <c r="I37" i="3"/>
  <c r="H37" i="3"/>
  <c r="G37" i="3"/>
  <c r="F37" i="3"/>
  <c r="E37" i="3"/>
  <c r="D37" i="3"/>
  <c r="C37" i="3"/>
  <c r="L36" i="3"/>
  <c r="K36" i="3"/>
  <c r="J36" i="3"/>
  <c r="I36" i="3"/>
  <c r="H36" i="3"/>
  <c r="G36" i="3"/>
  <c r="L35" i="3"/>
  <c r="K35" i="3"/>
  <c r="G35" i="3"/>
  <c r="F35" i="3"/>
  <c r="E35" i="3"/>
  <c r="D35" i="3"/>
  <c r="C35" i="3"/>
  <c r="B35" i="3"/>
  <c r="M34" i="3"/>
  <c r="L34" i="3"/>
  <c r="K34" i="3"/>
  <c r="J34" i="3"/>
  <c r="I34" i="3"/>
  <c r="H34" i="3"/>
  <c r="G34" i="3"/>
  <c r="F34" i="3"/>
  <c r="D34" i="3"/>
  <c r="C34" i="3"/>
  <c r="B34" i="3"/>
  <c r="M33" i="3"/>
  <c r="L33" i="3"/>
  <c r="K33" i="3"/>
  <c r="J33" i="3"/>
  <c r="I33" i="3"/>
  <c r="H33" i="3"/>
  <c r="C33" i="3"/>
  <c r="B33" i="3"/>
  <c r="I32" i="3"/>
  <c r="H32" i="3"/>
  <c r="G32" i="3"/>
  <c r="F32" i="3"/>
  <c r="E32" i="3"/>
  <c r="D32" i="3"/>
  <c r="C32" i="3"/>
  <c r="B32" i="3"/>
  <c r="M31" i="3"/>
  <c r="L31" i="3"/>
  <c r="K31" i="3"/>
  <c r="I31" i="3"/>
  <c r="H31" i="3"/>
  <c r="G31" i="3"/>
  <c r="F31" i="3"/>
  <c r="E31" i="3"/>
  <c r="D31" i="3"/>
  <c r="C31" i="3"/>
  <c r="B31" i="3"/>
  <c r="M30" i="3"/>
  <c r="L30" i="3"/>
  <c r="K30" i="3"/>
  <c r="J30" i="3"/>
  <c r="D30" i="3"/>
  <c r="C30" i="3"/>
  <c r="B30" i="3"/>
  <c r="M29" i="3"/>
  <c r="L29" i="3"/>
  <c r="K29" i="3"/>
  <c r="J29" i="3"/>
  <c r="I29" i="3"/>
  <c r="H29" i="3"/>
  <c r="G29" i="3"/>
  <c r="F29" i="3"/>
  <c r="E29" i="3"/>
  <c r="D29" i="3"/>
  <c r="C29" i="3"/>
  <c r="L28" i="3"/>
  <c r="K28" i="3"/>
  <c r="J28" i="3"/>
  <c r="I28" i="3"/>
  <c r="G28" i="3"/>
  <c r="F28" i="3"/>
  <c r="E28" i="3"/>
  <c r="D28" i="3"/>
  <c r="L27" i="3"/>
  <c r="K27" i="3"/>
  <c r="H27" i="3"/>
  <c r="F27" i="3"/>
  <c r="E27" i="3"/>
  <c r="D27" i="3"/>
  <c r="C27" i="3"/>
  <c r="B27" i="3"/>
  <c r="M26" i="3"/>
  <c r="L26" i="3"/>
  <c r="K26" i="3"/>
  <c r="J26" i="3"/>
  <c r="I26" i="3"/>
  <c r="H26" i="3"/>
  <c r="G26" i="3"/>
  <c r="F26" i="3"/>
  <c r="D26" i="3"/>
  <c r="M25" i="3"/>
  <c r="L25" i="3"/>
  <c r="K25" i="3"/>
  <c r="G25" i="3"/>
  <c r="F25" i="3"/>
  <c r="E25" i="3"/>
  <c r="D25" i="3"/>
  <c r="C25" i="3"/>
  <c r="S16" i="3" s="1"/>
  <c r="B25" i="3"/>
  <c r="L24" i="3"/>
  <c r="K24" i="3"/>
  <c r="H24" i="3"/>
  <c r="G24" i="3"/>
  <c r="F24" i="3"/>
  <c r="E24" i="3"/>
  <c r="D24" i="3"/>
  <c r="C24" i="3"/>
  <c r="B24" i="3"/>
  <c r="M23" i="3"/>
  <c r="L23" i="3"/>
  <c r="K23" i="3"/>
  <c r="I23" i="3"/>
  <c r="H23" i="3"/>
  <c r="G23" i="3"/>
  <c r="F23" i="3"/>
  <c r="E23" i="3"/>
  <c r="M22" i="3"/>
  <c r="L22" i="3"/>
  <c r="K22" i="3"/>
  <c r="J22" i="3"/>
  <c r="G22" i="3"/>
  <c r="D22" i="3"/>
  <c r="C22" i="3"/>
  <c r="B22" i="3"/>
  <c r="M21" i="3"/>
  <c r="L21" i="3"/>
  <c r="K21" i="3"/>
  <c r="J21" i="3"/>
  <c r="I21" i="3"/>
  <c r="H21" i="3"/>
  <c r="F21" i="3"/>
  <c r="E21" i="3"/>
  <c r="D21" i="3"/>
  <c r="C21" i="3"/>
  <c r="L20" i="3"/>
  <c r="K20" i="3"/>
  <c r="J20" i="3"/>
  <c r="I20" i="3"/>
  <c r="H20" i="3"/>
  <c r="G20" i="3"/>
  <c r="F20" i="3"/>
  <c r="E20" i="3"/>
  <c r="M19" i="3"/>
  <c r="L19" i="3"/>
  <c r="F19" i="3"/>
  <c r="E19" i="3"/>
  <c r="D19" i="3"/>
  <c r="C19" i="3"/>
  <c r="B19" i="3"/>
  <c r="S18" i="3"/>
  <c r="R18" i="3"/>
  <c r="M18" i="3"/>
  <c r="L18" i="3"/>
  <c r="K18" i="3"/>
  <c r="J18" i="3"/>
  <c r="G18" i="3"/>
  <c r="F18" i="3"/>
  <c r="E18" i="3"/>
  <c r="D18" i="3"/>
  <c r="C18" i="3"/>
  <c r="B18" i="3"/>
  <c r="S17" i="3"/>
  <c r="R17" i="3"/>
  <c r="M17" i="3"/>
  <c r="L17" i="3"/>
  <c r="K17" i="3"/>
  <c r="J17" i="3"/>
  <c r="B17" i="3"/>
  <c r="R16" i="3"/>
  <c r="M16" i="3"/>
  <c r="L16" i="3"/>
  <c r="K16" i="3"/>
  <c r="J16" i="3"/>
  <c r="I16" i="3"/>
  <c r="H16" i="3"/>
  <c r="G16" i="3"/>
  <c r="F16" i="3"/>
  <c r="C16" i="3"/>
  <c r="B16" i="3"/>
  <c r="R15" i="3"/>
  <c r="M15" i="3"/>
  <c r="L15" i="3"/>
  <c r="K15" i="3"/>
  <c r="J15" i="3"/>
  <c r="I15" i="3"/>
  <c r="H15" i="3"/>
  <c r="G15" i="3"/>
  <c r="F15" i="3"/>
  <c r="E15" i="3"/>
  <c r="D15" i="3"/>
  <c r="C15" i="3"/>
  <c r="L14" i="3"/>
  <c r="K14" i="3"/>
  <c r="H14" i="3"/>
  <c r="D14" i="3"/>
  <c r="C14" i="3"/>
  <c r="B14" i="3"/>
  <c r="M13" i="3"/>
  <c r="L13" i="3"/>
  <c r="K13" i="3"/>
  <c r="J13" i="3"/>
  <c r="I13" i="3"/>
  <c r="H13" i="3"/>
  <c r="E13" i="3"/>
  <c r="D13" i="3"/>
  <c r="C13" i="3"/>
  <c r="B13" i="3"/>
  <c r="K12" i="3"/>
  <c r="J12" i="3"/>
  <c r="I12" i="3"/>
  <c r="H12" i="3"/>
  <c r="G12" i="3"/>
  <c r="D12" i="3"/>
  <c r="C12" i="3"/>
  <c r="M11" i="3"/>
  <c r="L11" i="3"/>
  <c r="K11" i="3"/>
  <c r="J11" i="3"/>
  <c r="I11" i="3"/>
  <c r="H11" i="3"/>
  <c r="F11" i="3"/>
  <c r="E11" i="3"/>
  <c r="D11" i="3"/>
  <c r="L10" i="3"/>
  <c r="K10" i="3"/>
  <c r="J10" i="3"/>
  <c r="I10" i="3"/>
  <c r="G10" i="3"/>
  <c r="F10" i="3"/>
  <c r="E10" i="3"/>
  <c r="D10" i="3"/>
  <c r="C10" i="3"/>
  <c r="B10" i="3"/>
  <c r="M9" i="3"/>
  <c r="L9" i="3"/>
  <c r="K9" i="3"/>
  <c r="H9" i="3"/>
  <c r="G9" i="3"/>
  <c r="F9" i="3"/>
  <c r="E9" i="3"/>
  <c r="D9" i="3"/>
  <c r="C9" i="3"/>
  <c r="S15" i="3" s="1"/>
  <c r="B9" i="3"/>
  <c r="Y70" i="2" l="1"/>
  <c r="Y9" i="2"/>
  <c r="A11" i="2"/>
  <c r="S59" i="3"/>
  <c r="R59" i="3"/>
  <c r="T44" i="2"/>
  <c r="S64" i="3"/>
  <c r="A12" i="2" l="1"/>
  <c r="A13" i="2" l="1"/>
  <c r="X71" i="2"/>
  <c r="W71" i="2"/>
  <c r="A14" i="2" l="1"/>
  <c r="Y71" i="2"/>
  <c r="A15" i="2" l="1"/>
  <c r="A16" i="2" l="1"/>
  <c r="A17" i="2" l="1"/>
  <c r="W72" i="2"/>
  <c r="X72" i="2"/>
  <c r="A18" i="2" l="1"/>
  <c r="Y72" i="2"/>
  <c r="A19" i="2" l="1"/>
  <c r="A20" i="2" l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W85" i="2"/>
  <c r="X94" i="2"/>
  <c r="Y84" i="2" l="1"/>
  <c r="X85" i="2"/>
  <c r="Y88" i="2"/>
  <c r="X75" i="2"/>
  <c r="Y91" i="2"/>
  <c r="X88" i="2"/>
  <c r="X84" i="2"/>
  <c r="Y90" i="2"/>
  <c r="Y76" i="2"/>
  <c r="Y94" i="2"/>
  <c r="W87" i="2"/>
  <c r="Y92" i="2"/>
  <c r="X93" i="2"/>
  <c r="Y85" i="2"/>
  <c r="X79" i="2"/>
  <c r="Y93" i="2"/>
  <c r="Y77" i="2"/>
  <c r="W91" i="2"/>
  <c r="W94" i="2"/>
  <c r="W88" i="2"/>
  <c r="Y79" i="2"/>
  <c r="Y74" i="2"/>
  <c r="W79" i="2"/>
  <c r="Y87" i="2"/>
  <c r="W75" i="2"/>
  <c r="X74" i="2"/>
  <c r="X87" i="2"/>
  <c r="W81" i="2"/>
  <c r="X77" i="2"/>
  <c r="W83" i="2"/>
  <c r="W82" i="2"/>
  <c r="W77" i="2"/>
  <c r="W90" i="2"/>
  <c r="Y78" i="2"/>
  <c r="Y89" i="2"/>
  <c r="Y73" i="2"/>
  <c r="X73" i="2"/>
  <c r="X76" i="2"/>
  <c r="X81" i="2"/>
  <c r="X86" i="2"/>
  <c r="X92" i="2"/>
  <c r="Y75" i="2"/>
  <c r="X78" i="2"/>
  <c r="W80" i="2"/>
  <c r="Y83" i="2"/>
  <c r="W93" i="2"/>
  <c r="Y80" i="2"/>
  <c r="W92" i="2"/>
  <c r="X90" i="2"/>
  <c r="X80" i="2"/>
  <c r="W73" i="2"/>
  <c r="X91" i="2"/>
  <c r="W76" i="2"/>
  <c r="X89" i="2"/>
  <c r="Y81" i="2"/>
  <c r="W89" i="2"/>
  <c r="W84" i="2"/>
  <c r="Y86" i="2"/>
  <c r="W74" i="2"/>
  <c r="X82" i="2"/>
  <c r="W86" i="2"/>
  <c r="W78" i="2"/>
  <c r="X83" i="2"/>
  <c r="Y82" i="2"/>
</calcChain>
</file>

<file path=xl/sharedStrings.xml><?xml version="1.0" encoding="utf-8"?>
<sst xmlns="http://schemas.openxmlformats.org/spreadsheetml/2006/main" count="514" uniqueCount="403">
  <si>
    <t>Variables -&gt;</t>
  </si>
  <si>
    <t>Model_HumanCapital_epsi_ig___yd</t>
  </si>
  <si>
    <t>Model_HumanCapital_epsi_cge___yd</t>
  </si>
  <si>
    <t>Model_HumanCapital_epsi_cgrd___yd</t>
  </si>
  <si>
    <t>Model_HumanCapital_epsi_igeff10y___yd</t>
  </si>
  <si>
    <t>Model_HumanCapital_epsi_cgeeff10y___yd</t>
  </si>
  <si>
    <t>Comments -&gt;</t>
  </si>
  <si>
    <t>Class[Size] -&gt;</t>
  </si>
  <si>
    <t>Series[201-by-1]</t>
  </si>
  <si>
    <t>Series[2002-by-1]</t>
  </si>
  <si>
    <t>Infrastructure investment</t>
  </si>
  <si>
    <t>Human capital investment</t>
  </si>
  <si>
    <t>R&amp;D spending</t>
  </si>
  <si>
    <t>1Q4</t>
  </si>
  <si>
    <t>2Q1</t>
  </si>
  <si>
    <t>5Q4</t>
  </si>
  <si>
    <t>2Q2</t>
  </si>
  <si>
    <t>15Q4</t>
  </si>
  <si>
    <t>2Q3</t>
  </si>
  <si>
    <t>25Q4</t>
  </si>
  <si>
    <t>2Q4</t>
  </si>
  <si>
    <t>3Q1</t>
  </si>
  <si>
    <t>3Q2</t>
  </si>
  <si>
    <t>3Q3</t>
  </si>
  <si>
    <t>3Q4</t>
  </si>
  <si>
    <t>4Q1</t>
  </si>
  <si>
    <t>Human capital investment + R&amp;D spending</t>
  </si>
  <si>
    <t>4Q2</t>
  </si>
  <si>
    <t>4Q3</t>
  </si>
  <si>
    <t>4Q4</t>
  </si>
  <si>
    <t>5Q1</t>
  </si>
  <si>
    <t>5Q2</t>
  </si>
  <si>
    <t>5Q3</t>
  </si>
  <si>
    <t>6Q1</t>
  </si>
  <si>
    <t>6Q2</t>
  </si>
  <si>
    <t>6Q3</t>
  </si>
  <si>
    <t>6Q4</t>
  </si>
  <si>
    <t>7Q1</t>
  </si>
  <si>
    <t>7Q2</t>
  </si>
  <si>
    <t>7Q3</t>
  </si>
  <si>
    <t>7Q4</t>
  </si>
  <si>
    <t>8Q1</t>
  </si>
  <si>
    <t>8Q2</t>
  </si>
  <si>
    <t>8Q3</t>
  </si>
  <si>
    <t>8Q4</t>
  </si>
  <si>
    <t>9Q1</t>
  </si>
  <si>
    <t>9Q2</t>
  </si>
  <si>
    <t>9Q3</t>
  </si>
  <si>
    <t>9Q4</t>
  </si>
  <si>
    <t>10Q1</t>
  </si>
  <si>
    <t>10Q2</t>
  </si>
  <si>
    <t>10Q3</t>
  </si>
  <si>
    <t>10Q4</t>
  </si>
  <si>
    <t>11Q1</t>
  </si>
  <si>
    <t>11Q2</t>
  </si>
  <si>
    <t>11Q3</t>
  </si>
  <si>
    <t>11Q4</t>
  </si>
  <si>
    <t>12Q1</t>
  </si>
  <si>
    <t>12Q2</t>
  </si>
  <si>
    <t>12Q3</t>
  </si>
  <si>
    <t>12Q4</t>
  </si>
  <si>
    <t>13Q1</t>
  </si>
  <si>
    <t>13Q2</t>
  </si>
  <si>
    <t>13Q3</t>
  </si>
  <si>
    <t>13Q4</t>
  </si>
  <si>
    <t>14Q1</t>
  </si>
  <si>
    <t>14Q2</t>
  </si>
  <si>
    <t>14Q3</t>
  </si>
  <si>
    <t>14Q4</t>
  </si>
  <si>
    <t>15Q1</t>
  </si>
  <si>
    <t>15Q2</t>
  </si>
  <si>
    <t>15Q3</t>
  </si>
  <si>
    <t>16Q1</t>
  </si>
  <si>
    <t>16Q2</t>
  </si>
  <si>
    <t>16Q3</t>
  </si>
  <si>
    <t>16Q4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</si>
  <si>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</si>
  <si>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</si>
  <si>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</si>
  <si>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</si>
  <si>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</si>
  <si>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</si>
  <si>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</si>
  <si>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</si>
  <si>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</si>
  <si>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</si>
  <si>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</si>
  <si>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</si>
  <si>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</si>
  <si>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</si>
  <si>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</si>
  <si>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</si>
  <si>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</si>
  <si>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</si>
  <si>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</si>
  <si>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</si>
  <si>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</si>
  <si>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</si>
  <si>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Policy mix (baseline)</t>
  </si>
  <si>
    <t>Improved diffusion of technology in private sector</t>
  </si>
  <si>
    <t>22Q3</t>
  </si>
  <si>
    <t>22Q4</t>
  </si>
  <si>
    <t>23Q1</t>
  </si>
  <si>
    <t>23Q2</t>
  </si>
  <si>
    <t>23Q3</t>
  </si>
  <si>
    <t>23Q4</t>
  </si>
  <si>
    <t>Limited diffusion of technology in private sector</t>
  </si>
  <si>
    <t>24Q1</t>
  </si>
  <si>
    <t>24Q2</t>
  </si>
  <si>
    <t>24Q3</t>
  </si>
  <si>
    <t>24Q4</t>
  </si>
  <si>
    <t>25Q1</t>
  </si>
  <si>
    <t>25Q2</t>
  </si>
  <si>
    <t>25Q3</t>
  </si>
  <si>
    <t>1</t>
  </si>
  <si>
    <t>2</t>
  </si>
  <si>
    <t>3</t>
  </si>
  <si>
    <t>4</t>
  </si>
  <si>
    <t>5</t>
  </si>
  <si>
    <t>6</t>
  </si>
  <si>
    <t>7</t>
  </si>
  <si>
    <t>EM_Model_HumanCapital_epsiig___yd</t>
  </si>
  <si>
    <t>EM_Model_HumanCapital_epsicge___yd</t>
  </si>
  <si>
    <t>EM_Model_HumanCapital_epsiigeff10y___yd</t>
  </si>
  <si>
    <t>EM_Model_HumanCapital_epsicgeeff10y___yd</t>
  </si>
  <si>
    <t>EM_Model_HumanCapital_epsiigeff25y___yd</t>
  </si>
  <si>
    <t>EM_Model_HumanCapital_epsicgeeff25y___yd</t>
  </si>
  <si>
    <t>Initial efficiency: 0.8 (Baseline)</t>
  </si>
  <si>
    <t>Closing gap by 2050</t>
  </si>
  <si>
    <t>Initial efficiency: 0.6</t>
  </si>
  <si>
    <t>Baseline initial inefficiency: reducing from 0.2 to 0</t>
  </si>
  <si>
    <t>Higher initial inefficiency: reducing from 0.4 to 0.2</t>
  </si>
  <si>
    <t>Efficiency improvement by 2050</t>
  </si>
  <si>
    <t>Faster efficiency improvement by 2035</t>
  </si>
  <si>
    <t>Figure 6C</t>
  </si>
  <si>
    <t>Figure 6D</t>
  </si>
  <si>
    <t>Figure 6E</t>
  </si>
  <si>
    <t>AE</t>
  </si>
  <si>
    <t>Closing gap by 2035</t>
  </si>
  <si>
    <t>EMDE</t>
  </si>
  <si>
    <t>Model_HumanCapital_epsi_cgrd_eff__yd</t>
  </si>
  <si>
    <t>Model_HumanCapital_epsi_cgeCgrd__yd</t>
  </si>
  <si>
    <t>Model_HumanCapital_epsi_cgeCgrd_advt__yd</t>
  </si>
  <si>
    <t>Model_HumanCapital_epsi_cgeCgrd_limt__yd</t>
  </si>
  <si>
    <t>EM_Model_HumanCapital_epsiiglow__yd</t>
  </si>
  <si>
    <t>EM_Model_HumanCapital_epsicgelow__yd</t>
  </si>
  <si>
    <t>EM_Model_HumanCapital_epsiigeff10ylow__yd</t>
  </si>
  <si>
    <t>EM_Model_HumanCapital_epsicgeeff10ylow__yd</t>
  </si>
  <si>
    <t>EM_Model_HumanCapital_epsiigeff25ylow__yd</t>
  </si>
  <si>
    <t>EM_Model_HumanCapital_epsicgeeff25ylow__yd</t>
  </si>
  <si>
    <t>Model_HumanCapital_epsi_cgeCgrd___yd</t>
  </si>
  <si>
    <t>Model_HumanCapital_epsi_cgeCgrd_limt___yd</t>
  </si>
  <si>
    <t>Model_HumanCapital_epsi_cgeCgrd_advt___yd</t>
  </si>
  <si>
    <t>Model_HumanCapital_epsi_cgrd_eff___yd</t>
  </si>
  <si>
    <t>EM_Model_HumanCapital_epsiigeff25ylow___yd</t>
  </si>
  <si>
    <t>EM_Model_HumanCapital_epsiigeff10ylow___yd</t>
  </si>
  <si>
    <t>EM_Model_HumanCapital_epsicgeeff25ylow___yd</t>
  </si>
  <si>
    <t>EM_Model_HumanCapital_epsicgeeff10ylow___yd</t>
  </si>
  <si>
    <t>EM_Model_HumanCapital_epsiiglow___yd</t>
  </si>
  <si>
    <t>EM_Model_HumanCapital_epsicgelow___yd</t>
  </si>
  <si>
    <t>Variables__</t>
  </si>
  <si>
    <t>0Q4</t>
  </si>
  <si>
    <t>1Q1</t>
  </si>
  <si>
    <t>1Q2</t>
  </si>
  <si>
    <t>1Q3</t>
  </si>
  <si>
    <t>1Q4</t>
  </si>
  <si>
    <t>2Q1</t>
  </si>
  <si>
    <t>2Q2</t>
  </si>
  <si>
    <t>2Q3</t>
  </si>
  <si>
    <t>2Q4</t>
  </si>
  <si>
    <t>3Q1</t>
  </si>
  <si>
    <t>3Q2</t>
  </si>
  <si>
    <t>3Q3</t>
  </si>
  <si>
    <t>3Q4</t>
  </si>
  <si>
    <t>4Q1</t>
  </si>
  <si>
    <t>4Q2</t>
  </si>
  <si>
    <t>4Q3</t>
  </si>
  <si>
    <t>4Q4</t>
  </si>
  <si>
    <t>5Q1</t>
  </si>
  <si>
    <t>5Q2</t>
  </si>
  <si>
    <t>5Q3</t>
  </si>
  <si>
    <t>5Q4</t>
  </si>
  <si>
    <t>6Q1</t>
  </si>
  <si>
    <t>6Q2</t>
  </si>
  <si>
    <t>6Q3</t>
  </si>
  <si>
    <t>6Q4</t>
  </si>
  <si>
    <t>7Q1</t>
  </si>
  <si>
    <t>7Q2</t>
  </si>
  <si>
    <t>7Q3</t>
  </si>
  <si>
    <t>7Q4</t>
  </si>
  <si>
    <t>8Q1</t>
  </si>
  <si>
    <t>8Q2</t>
  </si>
  <si>
    <t>8Q3</t>
  </si>
  <si>
    <t>8Q4</t>
  </si>
  <si>
    <t>9Q1</t>
  </si>
  <si>
    <t>9Q2</t>
  </si>
  <si>
    <t>9Q3</t>
  </si>
  <si>
    <t>9Q4</t>
  </si>
  <si>
    <t>10Q1</t>
  </si>
  <si>
    <t>10Q2</t>
  </si>
  <si>
    <t>10Q3</t>
  </si>
  <si>
    <t>10Q4</t>
  </si>
  <si>
    <t>11Q1</t>
  </si>
  <si>
    <t>11Q2</t>
  </si>
  <si>
    <t>11Q3</t>
  </si>
  <si>
    <t>11Q4</t>
  </si>
  <si>
    <t>12Q1</t>
  </si>
  <si>
    <t>12Q2</t>
  </si>
  <si>
    <t>12Q3</t>
  </si>
  <si>
    <t>12Q4</t>
  </si>
  <si>
    <t>13Q1</t>
  </si>
  <si>
    <t>13Q2</t>
  </si>
  <si>
    <t>13Q3</t>
  </si>
  <si>
    <t>13Q4</t>
  </si>
  <si>
    <t>14Q1</t>
  </si>
  <si>
    <t>14Q2</t>
  </si>
  <si>
    <t>14Q3</t>
  </si>
  <si>
    <t>14Q4</t>
  </si>
  <si>
    <t>15Q1</t>
  </si>
  <si>
    <t>15Q2</t>
  </si>
  <si>
    <t>15Q3</t>
  </si>
  <si>
    <t>15Q4</t>
  </si>
  <si>
    <t>16Q1</t>
  </si>
  <si>
    <t>16Q2</t>
  </si>
  <si>
    <t>16Q3</t>
  </si>
  <si>
    <t>16Q4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</si>
  <si>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</si>
  <si>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</si>
  <si>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</si>
  <si>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</si>
  <si>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</si>
  <si>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</si>
  <si>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</si>
  <si>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</si>
  <si>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</si>
  <si>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</si>
  <si>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</si>
  <si>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</si>
  <si>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</si>
  <si>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</si>
  <si>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</si>
  <si>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</si>
  <si>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</si>
  <si>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</si>
  <si>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</si>
  <si>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</si>
  <si>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</si>
  <si>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</si>
  <si>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</si>
  <si>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</si>
  <si>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</si>
  <si>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</si>
  <si>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</si>
  <si>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</si>
  <si>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24Q1</t>
  </si>
  <si>
    <t>24Q2</t>
  </si>
  <si>
    <t>24Q3</t>
  </si>
  <si>
    <t>24Q4</t>
  </si>
  <si>
    <t>25Q1</t>
  </si>
  <si>
    <t>25Q2</t>
  </si>
  <si>
    <t>25Q3</t>
  </si>
  <si>
    <t>25Q4</t>
  </si>
  <si>
    <t>26Q1</t>
  </si>
  <si>
    <t>26Q2</t>
  </si>
  <si>
    <t>26Q3</t>
  </si>
  <si>
    <t>26Q4</t>
  </si>
  <si>
    <t>27Q1</t>
  </si>
  <si>
    <t>27Q2</t>
  </si>
  <si>
    <t>27Q3</t>
  </si>
  <si>
    <t>27Q4</t>
  </si>
  <si>
    <t>28Q1</t>
  </si>
  <si>
    <t>28Q2</t>
  </si>
  <si>
    <t>28Q3</t>
  </si>
  <si>
    <t>28Q4</t>
  </si>
  <si>
    <t>29Q1</t>
  </si>
  <si>
    <t>29Q2</t>
  </si>
  <si>
    <t>29Q3</t>
  </si>
  <si>
    <t>29Q4</t>
  </si>
  <si>
    <t>30Q1</t>
  </si>
  <si>
    <t>30Q2</t>
  </si>
  <si>
    <t>30Q3</t>
  </si>
  <si>
    <t>30Q4</t>
  </si>
  <si>
    <t>31Q1</t>
  </si>
  <si>
    <t>31Q2</t>
  </si>
  <si>
    <t>31Q3</t>
  </si>
  <si>
    <t>31Q4</t>
  </si>
  <si>
    <t>32Q1</t>
  </si>
  <si>
    <t>32Q2</t>
  </si>
  <si>
    <t>32Q3</t>
  </si>
  <si>
    <t>32Q4</t>
  </si>
  <si>
    <t>33Q1</t>
  </si>
  <si>
    <t>33Q2</t>
  </si>
  <si>
    <t>33Q3</t>
  </si>
  <si>
    <t>33Q4</t>
  </si>
  <si>
    <t>34Q1</t>
  </si>
  <si>
    <t>34Q2</t>
  </si>
  <si>
    <t>34Q3</t>
  </si>
  <si>
    <t>34Q4</t>
  </si>
  <si>
    <t>35Q1</t>
  </si>
  <si>
    <t>35Q2</t>
  </si>
  <si>
    <t>35Q3</t>
  </si>
  <si>
    <t>35Q4</t>
  </si>
  <si>
    <t>36Q1</t>
  </si>
  <si>
    <t>36Q2</t>
  </si>
  <si>
    <t>36Q3</t>
  </si>
  <si>
    <t>36Q4</t>
  </si>
  <si>
    <t>37Q1</t>
  </si>
  <si>
    <t>37Q2</t>
  </si>
  <si>
    <t>37Q3</t>
  </si>
  <si>
    <t>37Q4</t>
  </si>
  <si>
    <t>38Q1</t>
  </si>
  <si>
    <t>38Q2</t>
  </si>
  <si>
    <t>38Q3</t>
  </si>
  <si>
    <t>38Q4</t>
  </si>
  <si>
    <t>39Q1</t>
  </si>
  <si>
    <t>39Q2</t>
  </si>
  <si>
    <t>39Q3</t>
  </si>
  <si>
    <t>39Q4</t>
  </si>
  <si>
    <t>40Q1</t>
  </si>
  <si>
    <t>40Q2</t>
  </si>
  <si>
    <t>40Q3</t>
  </si>
  <si>
    <t>40Q4</t>
  </si>
  <si>
    <t>41Q1</t>
  </si>
  <si>
    <t>41Q2</t>
  </si>
  <si>
    <t>41Q3</t>
  </si>
  <si>
    <t>41Q4</t>
  </si>
  <si>
    <t>42Q1</t>
  </si>
  <si>
    <t>42Q2</t>
  </si>
  <si>
    <t>42Q3</t>
  </si>
  <si>
    <t>42Q4</t>
  </si>
  <si>
    <t>43Q1</t>
  </si>
  <si>
    <t>43Q2</t>
  </si>
  <si>
    <t>43Q3</t>
  </si>
  <si>
    <t>43Q4</t>
  </si>
  <si>
    <t>44Q1</t>
  </si>
  <si>
    <t>44Q2</t>
  </si>
  <si>
    <t>44Q3</t>
  </si>
  <si>
    <t>44Q4</t>
  </si>
  <si>
    <t>45Q1</t>
  </si>
  <si>
    <t>45Q2</t>
  </si>
  <si>
    <t>45Q3</t>
  </si>
  <si>
    <t>45Q4</t>
  </si>
  <si>
    <t>46Q1</t>
  </si>
  <si>
    <t>46Q2</t>
  </si>
  <si>
    <t>46Q3</t>
  </si>
  <si>
    <t>46Q4</t>
  </si>
  <si>
    <t>47Q1</t>
  </si>
  <si>
    <t>47Q2</t>
  </si>
  <si>
    <t>47Q3</t>
  </si>
  <si>
    <t>47Q4</t>
  </si>
  <si>
    <t>48Q1</t>
  </si>
  <si>
    <t>48Q2</t>
  </si>
  <si>
    <t>48Q3</t>
  </si>
  <si>
    <t>48Q4</t>
  </si>
  <si>
    <t>49Q1</t>
  </si>
  <si>
    <t>49Q2</t>
  </si>
  <si>
    <t>49Q3</t>
  </si>
  <si>
    <t>49Q4</t>
  </si>
  <si>
    <t>50Q1</t>
  </si>
  <si>
    <t>50Q2</t>
  </si>
  <si>
    <t>50Q3</t>
  </si>
  <si>
    <t>50Q4</t>
  </si>
  <si>
    <t>Model_HumanCapital_epsi_ig___yd</t>
  </si>
  <si>
    <t>Model_HumanCapital_epsi_cge___yd</t>
  </si>
  <si>
    <t>Model_HumanCapital_epsi_cgrd___yd</t>
  </si>
  <si>
    <t>Model_HumanCapital_epsi_igCgrd___yd</t>
  </si>
  <si>
    <t>Model_HumanCapital_epsi_igCge___yd</t>
  </si>
  <si>
    <t>Model_HumanCapital_epsi_cgeCgrd___yd</t>
  </si>
  <si>
    <t>Model_HumanCapital_epsieff30y___yd</t>
  </si>
  <si>
    <t>Model_HumanCapital_epsieffcge30y___yd</t>
  </si>
  <si>
    <t>Model_HumanCapital_epsi_igeff30y___yd</t>
  </si>
  <si>
    <t>Model_HumanCapital_epsi_igeff25y___yd</t>
  </si>
  <si>
    <t>Model_HumanCapital_epsi_igeff10y___yd</t>
  </si>
  <si>
    <t>Model_HumanCapital_epsi_igeff5y___yd</t>
  </si>
  <si>
    <t>Model_HumanCapital_epsi_cgeeff30y___yd</t>
  </si>
  <si>
    <t>Model_HumanCapital_epsi_cgeeff25y___yd</t>
  </si>
  <si>
    <t>Model_HumanCapital_epsi_cgeeff10y___yd</t>
  </si>
  <si>
    <t>Model_HumanCapital_epsi_cgeeff5y___yd</t>
  </si>
  <si>
    <t>Model_HumanCapital_epsi_cgeCgrd_limt___yd</t>
  </si>
  <si>
    <t>Model_HumanCapital_epsi_cgeCgrd_advt___yd</t>
  </si>
  <si>
    <t>Model_HumanCapital_epsi_cgrd_eff___yd</t>
  </si>
  <si>
    <t>EM_Model_HumanCapital_epsiig___yd</t>
  </si>
  <si>
    <t>EM_Model_HumanCapital_epsicge___yd</t>
  </si>
  <si>
    <t>EM_Model_HumanCapital_epsiigCge___yd</t>
  </si>
  <si>
    <t>EM_Model_HumanCapital_epsiigCgeVarShare___yd</t>
  </si>
  <si>
    <t>EM_Model_HumanCapital_epsieff30y___yd</t>
  </si>
  <si>
    <t>EM_Model_HumanCapital_epsieffcge30y___yd</t>
  </si>
  <si>
    <t>EM_Model_HumanCapital_epsiigeff30y___yd</t>
  </si>
  <si>
    <t>EM_Model_HumanCapital_epsiigeff25y___yd</t>
  </si>
  <si>
    <t>EM_Model_HumanCapital_epsiigeff10y___yd</t>
  </si>
  <si>
    <t>EM_Model_HumanCapital_epsiigeff5y___yd</t>
  </si>
  <si>
    <t>EM_Model_HumanCapital_epsiigLAGeff10y___yd</t>
  </si>
  <si>
    <t>EM_Model_HumanCapital_epsicgeeff30y___yd</t>
  </si>
  <si>
    <t>EM_Model_HumanCapital_epsicgeeff25y___yd</t>
  </si>
  <si>
    <t>EM_Model_HumanCapital_epsicgeeff10y___yd</t>
  </si>
  <si>
    <t>EM_Model_HumanCapital_epsicgeeff5y___yd</t>
  </si>
  <si>
    <t>EM_Model_HumanCapital_epsicgeLAGeff10y___yd</t>
  </si>
  <si>
    <t>EM_Model_HumanCapital_epsiigeff25ylow___yd</t>
  </si>
  <si>
    <t>EM_Model_HumanCapital_epsiigeff10ylow___yd</t>
  </si>
  <si>
    <t>EM_Model_HumanCapital_epsicgeeff25ylow___yd</t>
  </si>
  <si>
    <t>EM_Model_HumanCapital_epsicgeeff10ylow___yd</t>
  </si>
  <si>
    <t>EM_Model_HumanCapital_epsiiglow___yd</t>
  </si>
  <si>
    <t>EM_Model_HumanCapital_epsicgelow___yd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</si>
</sst>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3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2"/>
      <color theme="1"/>
      <name val="Consolas"/>
      <family val="3"/>
    </font>
    <font>
      <sz val="18"/>
      <color rgb="FFFF0000"/>
      <name val="Aptos Narrow"/>
      <family val="2"/>
    </font>
    <font>
      <sz val="8"/>
      <name val="Arial"/>
      <family val="2"/>
    </font>
    <font>
      <sz val="20"/>
      <color rgb="FFFF0000"/>
      <name val="Aptos Narrow"/>
      <family val="2"/>
    </font>
    <font>
      <sz val="17"/>
      <color rgb="FFFF0000"/>
      <name val="Aptos Narrow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1" fillId="0" borderId="0" applyNumberFormat="0" applyFill="0" applyBorder="0" applyAlignment="0" applyProtection="0"/>
    <xf numFmtId="0" fontId="7" fillId="11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2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/>
    <xf numFmtId="11" fontId="0" fillId="0" borderId="0" xfId="0" applyNumberFormat="1"/>
    <xf numFmtId="0" fontId="1" fillId="3" borderId="0" xfId="0" applyFont="1" applyFill="1"/>
    <xf numFmtId="0" fontId="3" fillId="3" borderId="0" xfId="0" applyFont="1" applyFill="1"/>
    <xf numFmtId="49" fontId="0" fillId="3" borderId="0" xfId="0" applyNumberFormat="1" applyFill="1"/>
    <xf numFmtId="0" fontId="2" fillId="3" borderId="0" xfId="0" applyFont="1" applyFill="1" applyAlignment="1">
      <alignment horizontal="left" vertical="center" indent="2"/>
    </xf>
    <xf numFmtId="0" fontId="0" fillId="3" borderId="0" xfId="0" applyFill="1" applyAlignment="1">
      <alignment wrapText="1"/>
    </xf>
    <xf numFmtId="2" fontId="0" fillId="3" borderId="0" xfId="0" applyNumberFormat="1" applyFill="1"/>
    <xf numFmtId="164" fontId="0" fillId="3" borderId="0" xfId="0" applyNumberFormat="1" applyFill="1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  <xf numFmtId="0" fontId="5" fillId="0" borderId="0" xfId="0" applyFont="1"/>
    <xf numFmtId="0" fontId="0" fillId="2" borderId="1" xfId="0" applyFill="1" applyBorder="1" applyAlignment="1">
      <alignment wrapText="1"/>
    </xf>
    <xf numFmtId="0" fontId="0" fillId="2" borderId="1" xfId="0" applyFill="1" applyBorder="1"/>
    <xf numFmtId="165" fontId="0" fillId="2" borderId="1" xfId="0" applyNumberFormat="1" applyFill="1" applyBorder="1"/>
    <xf numFmtId="2" fontId="0" fillId="2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1" fillId="4" borderId="0" xfId="0" applyFont="1" applyFill="1"/>
    <xf numFmtId="0" fontId="1" fillId="4" borderId="0" xfId="0" applyFont="1" applyFill="1" applyAlignment="1">
      <alignment wrapText="1"/>
    </xf>
    <xf numFmtId="49" fontId="0" fillId="2" borderId="1" xfId="0" applyNumberFormat="1" applyFill="1" applyBorder="1"/>
    <xf numFmtId="0" fontId="6" fillId="3" borderId="0" xfId="0" applyFont="1" applyFill="1"/>
    <xf numFmtId="0" fontId="0" fillId="36" borderId="0" xfId="0" applyFill="1"/>
    <xf numFmtId="2" fontId="1" fillId="0" borderId="0" xfId="0" applyNumberFormat="1" applyFont="1"/>
    <xf numFmtId="2" fontId="0" fillId="2" borderId="11" xfId="0" applyNumberFormat="1" applyFill="1" applyBorder="1"/>
    <xf numFmtId="0" fontId="0" fillId="36" borderId="0" xfId="0" applyFill="1" applyAlignment="1">
      <alignment wrapText="1"/>
    </xf>
    <xf numFmtId="0" fontId="1" fillId="36" borderId="0" xfId="0" applyFont="1" applyFill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Figure_6B_6D!$R$14</c:f>
              <c:strCache>
                <c:ptCount val="1"/>
                <c:pt idx="0">
                  <c:v>Infrastructure investment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Figure_6B_6D!$P$15:$P$18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Figure_6B_6D!$R$15:$R$18</c:f>
              <c:numCache>
                <c:formatCode>General</c:formatCode>
                <c:ptCount val="4"/>
                <c:pt idx="0">
                  <c:v>-7.4999999999999997E-2</c:v>
                </c:pt>
                <c:pt idx="1">
                  <c:v>1.514</c:v>
                </c:pt>
                <c:pt idx="2">
                  <c:v>3.26</c:v>
                </c:pt>
                <c:pt idx="3">
                  <c:v>3.746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D-4838-B414-24370CCBE712}"/>
            </c:ext>
          </c:extLst>
        </c:ser>
        <c:ser>
          <c:idx val="1"/>
          <c:order val="1"/>
          <c:tx>
            <c:strRef>
              <c:f>Figure_6B_6D!$S$14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Figure_6B_6D!$P$15:$P$18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Figure_6B_6D!$S$15:$S$18</c:f>
              <c:numCache>
                <c:formatCode>General</c:formatCode>
                <c:ptCount val="4"/>
                <c:pt idx="0">
                  <c:v>0.182</c:v>
                </c:pt>
                <c:pt idx="1">
                  <c:v>-7.1999999999999995E-2</c:v>
                </c:pt>
                <c:pt idx="2">
                  <c:v>3.1070000000000002</c:v>
                </c:pt>
                <c:pt idx="3">
                  <c:v>5.4640000000000004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D-4838-B414-24370CCBE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976048"/>
        <c:axId val="822926496"/>
      </c:barChart>
      <c:catAx>
        <c:axId val="18449760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6496"/>
        <c:crosses val="autoZero"/>
        <c:auto val="1"/>
        <c:lblAlgn val="ctr"/>
        <c:lblOffset val="100"/>
        <c:noMultiLvlLbl val="0"/>
      </c:catAx>
      <c:valAx>
        <c:axId val="82292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Figure_6B_6D!$R$57</c:f>
              <c:strCache>
                <c:ptCount val="1"/>
                <c:pt idx="0">
                  <c:v>Baseline initial inefficiency: reducing from 0.2 to 0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2035</c:v>
                </c:pt>
              </c:strCache>
            </c:strRef>
          </c:cat>
          <c:val>
            <c:numRef>
              <c:f>Figure_6B_6D!$R$58:$R$59</c:f>
              <c:numCache>
                <c:formatCode>0.0</c:formatCode>
                <c:ptCount val="2"/>
                <c:pt idx="0">
                  <c:v>2.4010000000000002</c:v>
                </c:pt>
                <c:pt idx="1">
                  <c:v>3.4010000000000002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4-45CF-BDD1-F9CD4A6F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81983"/>
        <c:axId val="2066282463"/>
      </c:barChart>
      <c:lineChart>
        <c:grouping val="stacked"/>
        <c:varyColors val="0"/>
        <c:ser>
          <c:idx val="1"/>
          <c:order val="1"/>
          <c:tx>
            <c:strRef>
              <c:f>Figure_6B_6D!$S$57</c:f>
              <c:strCache>
                <c:ptCount val="1"/>
                <c:pt idx="0">
                  <c:v>Higher initial inefficiency: reducing from 0.4 to 0.2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pattFill prst="shingle">
                <a:fgClr>
                  <a:schemeClr val="tx2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2035</c:v>
                </c:pt>
              </c:strCache>
            </c:strRef>
          </c:cat>
          <c:val>
            <c:numRef>
              <c:f>Figure_6B_6D!$S$58:$S$59</c:f>
              <c:numCache>
                <c:formatCode>0.0</c:formatCode>
                <c:ptCount val="2"/>
                <c:pt idx="0">
                  <c:v>3.1300000000000003</c:v>
                </c:pt>
                <c:pt idx="1">
                  <c:v>4.4019999999999992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4-45CF-BDD1-F9CD4A6F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281983"/>
        <c:axId val="2066282463"/>
      </c:lineChart>
      <c:catAx>
        <c:axId val="2066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2463"/>
        <c:crosses val="autoZero"/>
        <c:auto val="1"/>
        <c:lblAlgn val="ctr"/>
        <c:lblOffset val="100"/>
        <c:noMultiLvlLbl val="0"/>
      </c:catAx>
      <c:valAx>
        <c:axId val="2066282463"/>
        <c:scaling>
          <c:orientation val="minMax"/>
          <c:max val="7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819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Figure_6B_6D!$R$62</c:f>
              <c:strCache>
                <c:ptCount val="1"/>
                <c:pt idx="0">
                  <c:v>Baseline initial inefficiency: reducing from 0.2 to 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Figure_6B_6D!$Q$63:$Q$64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2035</c:v>
                </c:pt>
              </c:strCache>
            </c:strRef>
          </c:cat>
          <c:val>
            <c:numRef>
              <c:f>Figure_6B_6D!$R$63:$R$64</c:f>
              <c:numCache>
                <c:formatCode>0.0</c:formatCode>
                <c:ptCount val="2"/>
                <c:pt idx="0">
                  <c:v>2.4079999999999995</c:v>
                </c:pt>
                <c:pt idx="1">
                  <c:v>4.923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7-49AC-9865-93393954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201551"/>
        <c:axId val="969197231"/>
      </c:barChart>
      <c:lineChart>
        <c:grouping val="standard"/>
        <c:varyColors val="0"/>
        <c:ser>
          <c:idx val="1"/>
          <c:order val="1"/>
          <c:tx>
            <c:strRef>
              <c:f>Figure_6B_6D!$S$62</c:f>
              <c:strCache>
                <c:ptCount val="1"/>
                <c:pt idx="0">
                  <c:v>Higher initial inefficiency: reducing from 0.4 to 0.2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pattFill prst="shingle">
                <a:fgClr>
                  <a:schemeClr val="accent5"/>
                </a:fgClr>
                <a:bgClr>
                  <a:schemeClr val="bg1"/>
                </a:bgClr>
              </a:patt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Figure_6B_6D!$Q$63:$Q$64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2035</c:v>
                </c:pt>
              </c:strCache>
            </c:strRef>
          </c:cat>
          <c:val>
            <c:numRef>
              <c:f>Figure_6B_6D!$S$63:$S$64</c:f>
              <c:numCache>
                <c:formatCode>0.0</c:formatCode>
                <c:ptCount val="2"/>
                <c:pt idx="0">
                  <c:v>3.1890000000000001</c:v>
                </c:pt>
                <c:pt idx="1">
                  <c:v>6.452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7-49AC-9865-93393954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201551"/>
        <c:axId val="969197231"/>
      </c:lineChart>
      <c:catAx>
        <c:axId val="9692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197231"/>
        <c:crosses val="autoZero"/>
        <c:auto val="1"/>
        <c:lblAlgn val="ctr"/>
        <c:lblOffset val="100"/>
        <c:noMultiLvlLbl val="0"/>
      </c:catAx>
      <c:valAx>
        <c:axId val="9691972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0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949007146283"/>
          <c:y val="4.822441895605243E-2"/>
          <c:w val="0.86315927182593677"/>
          <c:h val="0.92135266773083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Figure_6A_6C_6E_6F!$V$8</c:f>
              <c:strCache>
                <c:ptCount val="1"/>
                <c:pt idx="0">
                  <c:v>Infrastructure investment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Figure_6A_6C_6E_6F!$V$9:$V$12</c:f>
              <c:numCache>
                <c:formatCode>General</c:formatCode>
                <c:ptCount val="4"/>
                <c:pt idx="0">
                  <c:v>-0.13200000000000001</c:v>
                </c:pt>
                <c:pt idx="1">
                  <c:v>0.61899999999999999</c:v>
                </c:pt>
                <c:pt idx="2">
                  <c:v>1.6579999999999999</c:v>
                </c:pt>
                <c:pt idx="3">
                  <c:v>2.1549999999999998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C-4633-8499-5501DCB7864B}"/>
            </c:ext>
          </c:extLst>
        </c:ser>
        <c:ser>
          <c:idx val="1"/>
          <c:order val="1"/>
          <c:tx>
            <c:strRef>
              <c:f>Figure_6A_6C_6E_6F!$W$8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Figure_6A_6C_6E_6F!$W$9:$W$12</c:f>
              <c:numCache>
                <c:formatCode>General</c:formatCode>
                <c:ptCount val="4"/>
                <c:pt idx="0">
                  <c:v>-0.17499999999999999</c:v>
                </c:pt>
                <c:pt idx="1">
                  <c:v>-0.214</c:v>
                </c:pt>
                <c:pt idx="2">
                  <c:v>1.4350000000000001</c:v>
                </c:pt>
                <c:pt idx="3">
                  <c:v>3.2850000000000001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4C-4633-8499-5501DCB7864B}"/>
            </c:ext>
          </c:extLst>
        </c:ser>
        <c:ser>
          <c:idx val="2"/>
          <c:order val="2"/>
          <c:tx>
            <c:strRef>
              <c:f>Figure_6A_6C_6E_6F!$X$8</c:f>
              <c:strCache>
                <c:ptCount val="1"/>
                <c:pt idx="0">
                  <c:v>R&amp;D spending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Figure_6A_6C_6E_6F!$X$9:$X$12</c:f>
              <c:numCache>
                <c:formatCode>General</c:formatCode>
                <c:ptCount val="4"/>
                <c:pt idx="0">
                  <c:v>-0.36899999999999999</c:v>
                </c:pt>
                <c:pt idx="1">
                  <c:v>0.47299999999999998</c:v>
                </c:pt>
                <c:pt idx="2">
                  <c:v>2.3650000000000002</c:v>
                </c:pt>
                <c:pt idx="3">
                  <c:v>3.2109999999999999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4C-4633-8499-5501DCB7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976048"/>
        <c:axId val="822926496"/>
      </c:barChart>
      <c:catAx>
        <c:axId val="18449760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6496"/>
        <c:crosses val="autoZero"/>
        <c:auto val="1"/>
        <c:lblAlgn val="ctr"/>
        <c:lblOffset val="100"/>
        <c:noMultiLvlLbl val="0"/>
      </c:catAx>
      <c:valAx>
        <c:axId val="82292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70830919695104"/>
          <c:y val="3.1886281178566234E-2"/>
          <c:w val="0.61354154085844403"/>
          <c:h val="0.18840777166078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43759399298727E-2"/>
          <c:y val="4.444344259273466E-2"/>
          <c:w val="0.86704488328015317"/>
          <c:h val="0.86698011537273689"/>
        </c:manualLayout>
      </c:layout>
      <c:lineChart>
        <c:grouping val="standard"/>
        <c:varyColors val="0"/>
        <c:ser>
          <c:idx val="0"/>
          <c:order val="0"/>
          <c:tx>
            <c:strRef>
              <c:f>Figure_6A_6C_6E_6F!$W$69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Figure_6A_6C_6E_6F!$W$70:$W$94</c:f>
              <c:numCache>
                <c:formatCode>General</c:formatCode>
                <c:ptCount val="25"/>
                <c:pt idx="0">
                  <c:v>-0.17499999999999999</c:v>
                </c:pt>
                <c:pt idx="1">
                  <c:v>-0.25900000000000001</c:v>
                </c:pt>
                <c:pt idx="2">
                  <c:v>-0.28899999999999998</c:v>
                </c:pt>
                <c:pt idx="3">
                  <c:v>-0.27200000000000002</c:v>
                </c:pt>
                <c:pt idx="4">
                  <c:v>-0.214</c:v>
                </c:pt>
                <c:pt idx="5">
                  <c:v>-0.123</c:v>
                </c:pt>
                <c:pt idx="6">
                  <c:v>-5.0000000000000001E-3</c:v>
                </c:pt>
                <c:pt idx="7">
                  <c:v>0.13600000000000001</c:v>
                </c:pt>
                <c:pt idx="8">
                  <c:v>0.29499999999999998</c:v>
                </c:pt>
                <c:pt idx="9">
                  <c:v>0.46700000000000003</c:v>
                </c:pt>
                <c:pt idx="10">
                  <c:v>0.65</c:v>
                </c:pt>
                <c:pt idx="11">
                  <c:v>0.84</c:v>
                </c:pt>
                <c:pt idx="12">
                  <c:v>1.036</c:v>
                </c:pt>
                <c:pt idx="13">
                  <c:v>1.2350000000000001</c:v>
                </c:pt>
                <c:pt idx="14">
                  <c:v>1.4350000000000001</c:v>
                </c:pt>
                <c:pt idx="15">
                  <c:v>1.6359999999999999</c:v>
                </c:pt>
                <c:pt idx="16">
                  <c:v>1.835</c:v>
                </c:pt>
                <c:pt idx="17">
                  <c:v>2.0310000000000001</c:v>
                </c:pt>
                <c:pt idx="18">
                  <c:v>2.2250000000000001</c:v>
                </c:pt>
                <c:pt idx="19">
                  <c:v>2.4140000000000001</c:v>
                </c:pt>
                <c:pt idx="20">
                  <c:v>2.5990000000000002</c:v>
                </c:pt>
                <c:pt idx="21">
                  <c:v>2.7789999999999999</c:v>
                </c:pt>
                <c:pt idx="22">
                  <c:v>2.9529999999999998</c:v>
                </c:pt>
                <c:pt idx="23">
                  <c:v>3.1219999999999999</c:v>
                </c:pt>
                <c:pt idx="24">
                  <c:v>3.2850000000000001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0-4BF5-B24F-6DC64AA1221E}"/>
            </c:ext>
          </c:extLst>
        </c:ser>
        <c:ser>
          <c:idx val="1"/>
          <c:order val="1"/>
          <c:tx>
            <c:strRef>
              <c:f>Figure_6A_6C_6E_6F!$X$69</c:f>
              <c:strCache>
                <c:ptCount val="1"/>
                <c:pt idx="0">
                  <c:v>R&amp;D spending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Figure_6A_6C_6E_6F!$X$70:$X$94</c:f>
              <c:numCache>
                <c:formatCode>General</c:formatCode>
                <c:ptCount val="25"/>
                <c:pt idx="0">
                  <c:v>-0.36899999999999999</c:v>
                </c:pt>
                <c:pt idx="1">
                  <c:v>-0.29799999999999999</c:v>
                </c:pt>
                <c:pt idx="2">
                  <c:v>-7.1999999999999995E-2</c:v>
                </c:pt>
                <c:pt idx="3">
                  <c:v>0.19900000000000001</c:v>
                </c:pt>
                <c:pt idx="4">
                  <c:v>0.47299999999999998</c:v>
                </c:pt>
                <c:pt idx="5">
                  <c:v>0.73399999999999999</c:v>
                </c:pt>
                <c:pt idx="6">
                  <c:v>0.97799999999999998</c:v>
                </c:pt>
                <c:pt idx="7">
                  <c:v>1.2030000000000001</c:v>
                </c:pt>
                <c:pt idx="8">
                  <c:v>1.4119999999999999</c:v>
                </c:pt>
                <c:pt idx="9">
                  <c:v>1.6040000000000001</c:v>
                </c:pt>
                <c:pt idx="10">
                  <c:v>1.782</c:v>
                </c:pt>
                <c:pt idx="11">
                  <c:v>1.946</c:v>
                </c:pt>
                <c:pt idx="12">
                  <c:v>2.097</c:v>
                </c:pt>
                <c:pt idx="13">
                  <c:v>2.2360000000000002</c:v>
                </c:pt>
                <c:pt idx="14">
                  <c:v>2.3650000000000002</c:v>
                </c:pt>
                <c:pt idx="15">
                  <c:v>2.484</c:v>
                </c:pt>
                <c:pt idx="16">
                  <c:v>2.593</c:v>
                </c:pt>
                <c:pt idx="17">
                  <c:v>2.694</c:v>
                </c:pt>
                <c:pt idx="18">
                  <c:v>2.7869999999999999</c:v>
                </c:pt>
                <c:pt idx="19">
                  <c:v>2.8730000000000002</c:v>
                </c:pt>
                <c:pt idx="20">
                  <c:v>2.952</c:v>
                </c:pt>
                <c:pt idx="21">
                  <c:v>3.0249999999999999</c:v>
                </c:pt>
                <c:pt idx="22">
                  <c:v>3.0920000000000001</c:v>
                </c:pt>
                <c:pt idx="23">
                  <c:v>3.1539999999999999</c:v>
                </c:pt>
                <c:pt idx="24">
                  <c:v>3.2109999999999999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0-4BF5-B24F-6DC64AA1221E}"/>
            </c:ext>
          </c:extLst>
        </c:ser>
        <c:ser>
          <c:idx val="2"/>
          <c:order val="2"/>
          <c:tx>
            <c:strRef>
              <c:f>Figure_6A_6C_6E_6F!$Y$69</c:f>
              <c:strCache>
                <c:ptCount val="1"/>
                <c:pt idx="0">
                  <c:v>Human capital investment + R&amp;D spending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Figure_6A_6C_6E_6F!$Y$70:$Y$94</c:f>
              <c:numCache>
                <c:formatCode>General</c:formatCode>
                <c:ptCount val="25"/>
                <c:pt idx="0">
                  <c:v>-0.315</c:v>
                </c:pt>
                <c:pt idx="1">
                  <c:v>-0.312</c:v>
                </c:pt>
                <c:pt idx="2">
                  <c:v>-0.184</c:v>
                </c:pt>
                <c:pt idx="3">
                  <c:v>-5.0000000000000001E-3</c:v>
                </c:pt>
                <c:pt idx="4">
                  <c:v>0.19500000000000001</c:v>
                </c:pt>
                <c:pt idx="5">
                  <c:v>0.40300000000000002</c:v>
                </c:pt>
                <c:pt idx="6">
                  <c:v>0.61299999999999999</c:v>
                </c:pt>
                <c:pt idx="7">
                  <c:v>0.82399999999999995</c:v>
                </c:pt>
                <c:pt idx="8">
                  <c:v>1.032</c:v>
                </c:pt>
                <c:pt idx="9">
                  <c:v>1.238</c:v>
                </c:pt>
                <c:pt idx="10">
                  <c:v>1.44</c:v>
                </c:pt>
                <c:pt idx="11">
                  <c:v>1.6379999999999999</c:v>
                </c:pt>
                <c:pt idx="12">
                  <c:v>1.831</c:v>
                </c:pt>
                <c:pt idx="13">
                  <c:v>2.0190000000000001</c:v>
                </c:pt>
                <c:pt idx="14">
                  <c:v>2.202</c:v>
                </c:pt>
                <c:pt idx="15">
                  <c:v>2.379</c:v>
                </c:pt>
                <c:pt idx="16">
                  <c:v>2.5510000000000002</c:v>
                </c:pt>
                <c:pt idx="17">
                  <c:v>2.7160000000000002</c:v>
                </c:pt>
                <c:pt idx="18">
                  <c:v>2.875</c:v>
                </c:pt>
                <c:pt idx="19">
                  <c:v>3.028</c:v>
                </c:pt>
                <c:pt idx="20">
                  <c:v>3.1739999999999999</c:v>
                </c:pt>
                <c:pt idx="21">
                  <c:v>3.3149999999999999</c:v>
                </c:pt>
                <c:pt idx="22">
                  <c:v>3.4489999999999998</c:v>
                </c:pt>
                <c:pt idx="23">
                  <c:v>3.577</c:v>
                </c:pt>
                <c:pt idx="24">
                  <c:v>3.6989999999999998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10-4BF5-B24F-6DC64AA12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94704"/>
        <c:axId val="147295184"/>
      </c:lineChart>
      <c:catAx>
        <c:axId val="1472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518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4729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759402993284741E-2"/>
          <c:y val="1.7382123863191323E-2"/>
          <c:w val="0.57450976890784333"/>
          <c:h val="0.326924322274063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Figure_6A_6C_6E_6F!$T$43:$V$43</c:f>
              <c:strCache>
                <c:ptCount val="3"/>
                <c:pt idx="0">
                  <c:v>Infrastructure investment</c:v>
                </c:pt>
                <c:pt idx="1">
                  <c:v>Human capital investment</c:v>
                </c:pt>
                <c:pt idx="2">
                  <c:v>R&amp;D spending</c:v>
                </c:pt>
              </c:strCache>
            </c:strRef>
          </c:cat>
          <c:val>
            <c:numRef>
              <c:f>Figure_6A_6C_6E_6F!$T$44:$V$44</c:f>
              <c:numCache>
                <c:formatCode>General</c:formatCode>
                <c:ptCount val="3"/>
                <c:pt idx="0">
                  <c:v>0.47500000000000009</c:v>
                </c:pt>
                <c:pt idx="1">
                  <c:v>0.85599999999999987</c:v>
                </c:pt>
                <c:pt idx="2">
                  <c:v>0.97100000000000053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1-4C49-AB53-4C9CA85C3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290495"/>
        <c:axId val="627982623"/>
      </c:barChart>
      <c:catAx>
        <c:axId val="9662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82623"/>
        <c:crosses val="autoZero"/>
        <c:auto val="1"/>
        <c:lblAlgn val="ctr"/>
        <c:lblOffset val="100"/>
        <c:noMultiLvlLbl val="0"/>
      </c:catAx>
      <c:valAx>
        <c:axId val="627982623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904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Figure_6A_6C_6E_6F!$AU$72:$AW$72</c:f>
              <c:strCache>
                <c:ptCount val="3"/>
                <c:pt idx="0">
                  <c:v>Limited diffusion of technology in private sector</c:v>
                </c:pt>
                <c:pt idx="1">
                  <c:v>Policy mix (baseline)</c:v>
                </c:pt>
                <c:pt idx="2">
                  <c:v>Improved diffusion of technology in private sector</c:v>
                </c:pt>
              </c:strCache>
            </c:strRef>
          </c:cat>
          <c:val>
            <c:numRef>
              <c:f>Figure_6A_6C_6E_6F!$AU$73:$AW$73</c:f>
              <c:numCache>
                <c:formatCode>General</c:formatCode>
                <c:ptCount val="3"/>
                <c:pt idx="0">
                  <c:v>1.2410000000000001</c:v>
                </c:pt>
                <c:pt idx="1">
                  <c:v>3.6989999999999998</c:v>
                </c:pt>
                <c:pt idx="2">
                  <c:v>5.694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2-4B3C-95B8-172E0F7AA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445344"/>
        <c:axId val="1443445824"/>
      </c:barChart>
      <c:catAx>
        <c:axId val="14434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45824"/>
        <c:crosses val="autoZero"/>
        <c:auto val="1"/>
        <c:lblAlgn val="ctr"/>
        <c:lblOffset val="100"/>
        <c:noMultiLvlLbl val="0"/>
      </c:catAx>
      <c:valAx>
        <c:axId val="144344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4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57149</xdr:colOff>
      <xdr:row>14</xdr:row>
      <xdr:rowOff>4761</xdr:rowOff>
    </xdr:from>
    <xdr:to>
      <xdr:col>32</xdr:col>
      <xdr:colOff>57150</xdr:colOff>
      <xdr:row>36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D1250-88F5-4DCF-9402-6BF924FF0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24</xdr:col>
      <xdr:colOff>266700</xdr:colOff>
      <xdr:row>35</xdr:row>
      <xdr:rowOff>104775</xdr:rowOff>
    </xdr:from>
    <xdr:ext cx="4667250" cy="8749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FCDE73-77BD-4010-B6C6-7590EAE4DA08}"/>
            </a:ext>
          </a:extLst>
        </xdr:cNvPr>
        <xdr:cNvSpPr txBox="1"/>
      </xdr:nvSpPr>
      <xdr:spPr>
        <a:xfrm>
          <a:off x="16144875" y="6419850"/>
          <a:ext cx="4667250" cy="874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/>
            <a:t>Source: IMF staffs estimates.</a:t>
          </a:r>
        </a:p>
        <a:p>
          <a:r>
            <a:rPr lang="en-US" sz="1000"/>
            <a:t>Note:</a:t>
          </a:r>
          <a:r>
            <a:rPr lang="en-US" sz="1000" baseline="0"/>
            <a:t> Response of output to a permanent increase  of 1 percent of GDP in i) public infrastructure investment and ii) in human capital investment, respectively, while cutting public consumption by 1 percent of GDP  (i.e., budget neutral).</a:t>
          </a:r>
          <a:endParaRPr lang="en-US" sz="1000"/>
        </a:p>
        <a:p>
          <a:endParaRPr lang="en-US" sz="1000"/>
        </a:p>
      </xdr:txBody>
    </xdr:sp>
    <xdr:clientData/>
  </xdr:oneCellAnchor>
  <xdr:twoCellAnchor>
    <xdr:from>
      <xdr:col>23</xdr:col>
      <xdr:colOff>304801</xdr:colOff>
      <xdr:row>46</xdr:row>
      <xdr:rowOff>142876</xdr:rowOff>
    </xdr:from>
    <xdr:to>
      <xdr:col>28</xdr:col>
      <xdr:colOff>400051</xdr:colOff>
      <xdr:row>60</xdr:row>
      <xdr:rowOff>123437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9AA8691-FC77-455F-944E-AC4AD6CA2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357188</xdr:colOff>
      <xdr:row>46</xdr:row>
      <xdr:rowOff>123824</xdr:rowOff>
    </xdr:from>
    <xdr:to>
      <xdr:col>34</xdr:col>
      <xdr:colOff>409576</xdr:colOff>
      <xdr:row>59</xdr:row>
      <xdr:rowOff>104775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68B201-E163-44D0-9C8A-43B52EC9A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514350</xdr:colOff>
      <xdr:row>61</xdr:row>
      <xdr:rowOff>109539</xdr:rowOff>
    </xdr:from>
    <xdr:to>
      <xdr:col>32</xdr:col>
      <xdr:colOff>133887</xdr:colOff>
      <xdr:row>61</xdr:row>
      <xdr:rowOff>604908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3E7FF97-3CCE-406E-ADCD-1F0F525B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02125" y="11968164"/>
          <a:ext cx="3848637" cy="495369"/>
        </a:xfrm>
        <a:prstGeom prst="rect">
          <a:avLst/>
        </a:prstGeom>
      </xdr:spPr>
    </xdr:pic>
    <xdr:clientData/>
  </xdr:twoCellAnchor>
  <xdr:oneCellAnchor>
    <xdr:from>
      <xdr:col>26</xdr:col>
      <xdr:colOff>504825</xdr:colOff>
      <xdr:row>8</xdr:row>
      <xdr:rowOff>114300</xdr:rowOff>
    </xdr:from>
    <xdr:ext cx="1039965" cy="37407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3274D2-10FB-7A75-EFBE-2F9B177E508B}"/>
            </a:ext>
          </a:extLst>
        </xdr:cNvPr>
        <xdr:cNvSpPr txBox="1"/>
      </xdr:nvSpPr>
      <xdr:spPr>
        <a:xfrm>
          <a:off x="17602200" y="2057400"/>
          <a:ext cx="1039965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>
              <a:solidFill>
                <a:srgbClr val="FF0000"/>
              </a:solidFill>
            </a:rPr>
            <a:t>Figure 6B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495299</xdr:colOff>
      <xdr:row>3</xdr:row>
      <xdr:rowOff>128586</xdr:rowOff>
    </xdr:from>
    <xdr:to>
      <xdr:col>33</xdr:col>
      <xdr:colOff>495300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66B9A-D9D8-4CE3-9B5C-D87299863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26</xdr:col>
      <xdr:colOff>85725</xdr:colOff>
      <xdr:row>27</xdr:row>
      <xdr:rowOff>66675</xdr:rowOff>
    </xdr:from>
    <xdr:ext cx="4667250" cy="10314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9626B0-644D-4267-BF92-B27BD9B2D181}"/>
            </a:ext>
          </a:extLst>
        </xdr:cNvPr>
        <xdr:cNvSpPr txBox="1"/>
      </xdr:nvSpPr>
      <xdr:spPr>
        <a:xfrm>
          <a:off x="16240125" y="5734050"/>
          <a:ext cx="4667250" cy="10314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/>
            <a:t>Source: IMF staffs estimates.</a:t>
          </a:r>
        </a:p>
        <a:p>
          <a:r>
            <a:rPr lang="en-US" sz="1000"/>
            <a:t>Note:</a:t>
          </a:r>
          <a:r>
            <a:rPr lang="en-US" sz="1000" baseline="0"/>
            <a:t> Response of output to a permanent increase  of 1 percent of GDP in i) public infrastructure investment,  ii) in public human capital investment,  iii) in public R&amp;D spending respectively, while cutting public consumption by 1 percent of GDP  (i.e., budget neutral).</a:t>
          </a:r>
          <a:endParaRPr lang="en-US" sz="1000"/>
        </a:p>
        <a:p>
          <a:endParaRPr lang="en-US" sz="1000"/>
        </a:p>
      </xdr:txBody>
    </xdr:sp>
    <xdr:clientData/>
  </xdr:oneCellAnchor>
  <xdr:twoCellAnchor>
    <xdr:from>
      <xdr:col>26</xdr:col>
      <xdr:colOff>4761</xdr:colOff>
      <xdr:row>69</xdr:row>
      <xdr:rowOff>157162</xdr:rowOff>
    </xdr:from>
    <xdr:to>
      <xdr:col>34</xdr:col>
      <xdr:colOff>0</xdr:colOff>
      <xdr:row>92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CBC453-A30F-4FCA-8861-A50908AED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295275</xdr:colOff>
      <xdr:row>36</xdr:row>
      <xdr:rowOff>57150</xdr:rowOff>
    </xdr:from>
    <xdr:to>
      <xdr:col>34</xdr:col>
      <xdr:colOff>261938</xdr:colOff>
      <xdr:row>61</xdr:row>
      <xdr:rowOff>309563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2ECECC-F9FF-4DA5-B335-98D34E01F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9525</xdr:colOff>
      <xdr:row>69</xdr:row>
      <xdr:rowOff>104775</xdr:rowOff>
    </xdr:from>
    <xdr:to>
      <xdr:col>43</xdr:col>
      <xdr:colOff>509588</xdr:colOff>
      <xdr:row>92</xdr:row>
      <xdr:rowOff>52389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1EC1A6-3C70-4E54-8DD5-31B8830AC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29</xdr:col>
      <xdr:colOff>114300</xdr:colOff>
      <xdr:row>1</xdr:row>
      <xdr:rowOff>1104900</xdr:rowOff>
    </xdr:from>
    <xdr:ext cx="988347" cy="3584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3C95F42-105F-E4BF-558A-350865B2A55E}"/>
            </a:ext>
          </a:extLst>
        </xdr:cNvPr>
        <xdr:cNvSpPr txBox="1"/>
      </xdr:nvSpPr>
      <xdr:spPr>
        <a:xfrm>
          <a:off x="18707100" y="1266825"/>
          <a:ext cx="988347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700">
              <a:solidFill>
                <a:srgbClr val="FF0000"/>
              </a:solidFill>
            </a:rPr>
            <a:t>Figure</a:t>
          </a:r>
          <a:r>
            <a:rPr lang="en-US" sz="1700" baseline="0">
              <a:solidFill>
                <a:srgbClr val="FF0000"/>
              </a:solidFill>
            </a:rPr>
            <a:t> 6A</a:t>
          </a:r>
          <a:endParaRPr lang="en-US" sz="17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1160-CDBC-4192-8B74-5DC782370B08}">
  <sheetPr>
    <tabColor rgb="FFFFC000"/>
  </sheetPr>
  <dimension ref="A1:AX1905"/>
  <sheetViews>
    <sheetView workbookViewId="0">
      <pane xSplit="1" ySplit="4" topLeftCell="B45" activePane="bottomRight" state="frozen"/>
      <selection pane="topRight" activeCell="B1" sqref="B1"/>
      <selection pane="bottomLeft" activeCell="A4" sqref="A4"/>
      <selection pane="bottomRight" activeCell="I79" sqref="I79"/>
    </sheetView>
  </sheetViews>
  <sheetFormatPr defaultRowHeight="12.75" x14ac:dyDescent="0.2"/>
  <cols>
    <col min="2" max="7" width="9.5703125" customWidth="1"/>
    <col min="15" max="16" width="9.140625" style="1"/>
    <col min="17" max="17" width="21.5703125" style="1" customWidth="1"/>
    <col min="18" max="18" width="15" style="1" customWidth="1"/>
    <col min="19" max="19" width="11.7109375" style="1" customWidth="1"/>
    <col min="20" max="21" width="9.140625" style="1"/>
    <col min="24" max="26" width="9.140625" style="2"/>
    <col min="27" max="27" width="8.5703125" style="2" customWidth="1"/>
    <col min="28" max="37" width="9.140625" style="2"/>
    <col min="45" max="45" width="9.5703125" customWidth="1"/>
  </cols>
  <sheetData>
    <row r="1" spans="1:46" x14ac:dyDescent="0.2">
      <c r="A1" s="13" t="s">
        <v>114</v>
      </c>
      <c r="B1" s="13" t="s">
        <v>115</v>
      </c>
      <c r="C1" s="13" t="s">
        <v>116</v>
      </c>
      <c r="D1" s="13" t="s">
        <v>117</v>
      </c>
      <c r="E1" s="13" t="s">
        <v>118</v>
      </c>
      <c r="F1" s="13" t="s">
        <v>119</v>
      </c>
      <c r="G1" s="13" t="s">
        <v>120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AS1" s="13"/>
    </row>
    <row r="2" spans="1:46" ht="76.5" x14ac:dyDescent="0.2">
      <c r="A2" s="3" t="s">
        <v>0</v>
      </c>
      <c r="B2" s="3" t="s">
        <v>121</v>
      </c>
      <c r="C2" s="3" t="s">
        <v>122</v>
      </c>
      <c r="D2" s="3" t="s">
        <v>123</v>
      </c>
      <c r="E2" s="3" t="s">
        <v>124</v>
      </c>
      <c r="F2" s="3" t="s">
        <v>125</v>
      </c>
      <c r="G2" s="3" t="s">
        <v>126</v>
      </c>
      <c r="H2" s="3" t="s">
        <v>158</v>
      </c>
      <c r="I2" s="3" t="s">
        <v>159</v>
      </c>
      <c r="J2" s="3" t="s">
        <v>155</v>
      </c>
      <c r="K2" s="3" t="s">
        <v>157</v>
      </c>
      <c r="L2" s="3" t="s">
        <v>154</v>
      </c>
      <c r="M2" s="3" t="s">
        <v>156</v>
      </c>
      <c r="R2" s="31"/>
      <c r="S2" s="31"/>
      <c r="AS2" s="3"/>
      <c r="AT2" s="3"/>
    </row>
    <row r="3" spans="1:46" x14ac:dyDescent="0.2">
      <c r="A3" t="s">
        <v>6</v>
      </c>
      <c r="R3" s="31"/>
      <c r="S3" s="31"/>
    </row>
    <row r="4" spans="1:46" x14ac:dyDescent="0.2">
      <c r="A4" t="s">
        <v>7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R4" s="31"/>
      <c r="S4" s="31"/>
    </row>
    <row r="9" spans="1:46" x14ac:dyDescent="0.2">
      <c r="A9" t="s">
        <v>13</v>
      </c>
      <c r="B9">
        <f>Results_from_model!N9</f>
        <v>-7.4999999999999997E-2</v>
      </c>
      <c r="C9">
        <f>Results_from_model!O9</f>
        <v>0.182</v>
      </c>
      <c r="D9">
        <f>Results_from_model!P9</f>
        <v>-0.27200000000000002</v>
      </c>
      <c r="E9">
        <f>Results_from_model!Q9</f>
        <v>0.49199999999999999</v>
      </c>
      <c r="F9">
        <f>Results_from_model!R9</f>
        <v>-0.15</v>
      </c>
      <c r="G9">
        <f>Results_from_model!S9</f>
        <v>0.36199999999999999</v>
      </c>
      <c r="H9">
        <f>Results_from_model!T9</f>
        <v>-7.4999999999999997E-2</v>
      </c>
      <c r="I9">
        <f>Results_from_model!U9</f>
        <v>0.182</v>
      </c>
      <c r="J9">
        <f>Results_from_model!V9</f>
        <v>-0.33200000000000002</v>
      </c>
      <c r="K9">
        <f>Results_from_model!W9</f>
        <v>0.57899999999999996</v>
      </c>
      <c r="L9">
        <f>Results_from_model!X9</f>
        <v>-0.17399999999999999</v>
      </c>
      <c r="M9">
        <f>Results_from_model!Y9</f>
        <v>0.41499999999999998</v>
      </c>
    </row>
    <row r="10" spans="1:46" x14ac:dyDescent="0.2">
      <c r="A10" t="s">
        <v>14</v>
      </c>
      <c r="B10">
        <f>Results_from_model!N10</f>
        <v>4.5999999999999999E-2</v>
      </c>
      <c r="C10">
        <f>Results_from_model!O10</f>
        <v>9.2999999999999999E-2</v>
      </c>
      <c r="D10">
        <f>Results_from_model!P10</f>
        <v>-0.158</v>
      </c>
      <c r="E10">
        <f>Results_from_model!Q10</f>
        <v>0.372</v>
      </c>
      <c r="F10">
        <f>Results_from_model!R10</f>
        <v>-3.4000000000000002E-2</v>
      </c>
      <c r="G10">
        <f>Results_from_model!S10</f>
        <v>0.25900000000000001</v>
      </c>
      <c r="H10">
        <f>Results_from_model!T10</f>
        <v>4.5999999999999999E-2</v>
      </c>
      <c r="I10">
        <f>Results_from_model!U10</f>
        <v>9.2999999999999999E-2</v>
      </c>
      <c r="J10">
        <f>Results_from_model!V10</f>
        <v>-0.219</v>
      </c>
      <c r="K10">
        <f>Results_from_model!W10</f>
        <v>0.45</v>
      </c>
      <c r="L10">
        <f>Results_from_model!X10</f>
        <v>-5.8999999999999997E-2</v>
      </c>
      <c r="M10">
        <f>Results_from_model!Y10</f>
        <v>0.308</v>
      </c>
    </row>
    <row r="11" spans="1:46" x14ac:dyDescent="0.2">
      <c r="A11" t="s">
        <v>16</v>
      </c>
      <c r="B11">
        <f>Results_from_model!N11</f>
        <v>0.16500000000000001</v>
      </c>
      <c r="C11">
        <f>Results_from_model!O11</f>
        <v>1.4E-2</v>
      </c>
      <c r="D11">
        <f>Results_from_model!P11</f>
        <v>-0.04</v>
      </c>
      <c r="E11">
        <f>Results_from_model!Q11</f>
        <v>0.26</v>
      </c>
      <c r="F11">
        <f>Results_from_model!R11</f>
        <v>8.3000000000000004E-2</v>
      </c>
      <c r="G11">
        <f>Results_from_model!S11</f>
        <v>0.16500000000000001</v>
      </c>
      <c r="H11">
        <f>Results_from_model!T11</f>
        <v>0.16500000000000001</v>
      </c>
      <c r="I11">
        <f>Results_from_model!U11</f>
        <v>1.4E-2</v>
      </c>
      <c r="J11">
        <f>Results_from_model!V11</f>
        <v>-0.10199999999999999</v>
      </c>
      <c r="K11">
        <f>Results_from_model!W11</f>
        <v>0.32700000000000001</v>
      </c>
      <c r="L11">
        <f>Results_from_model!X11</f>
        <v>5.7000000000000002E-2</v>
      </c>
      <c r="M11">
        <f>Results_from_model!Y11</f>
        <v>0.20899999999999999</v>
      </c>
    </row>
    <row r="12" spans="1:46" x14ac:dyDescent="0.2">
      <c r="A12" t="s">
        <v>18</v>
      </c>
      <c r="B12">
        <f>Results_from_model!N12</f>
        <v>0.28199999999999997</v>
      </c>
      <c r="C12">
        <f>Results_from_model!O12</f>
        <v>-5.3999999999999999E-2</v>
      </c>
      <c r="D12">
        <f>Results_from_model!P12</f>
        <v>7.8E-2</v>
      </c>
      <c r="E12">
        <f>Results_from_model!Q12</f>
        <v>0.157</v>
      </c>
      <c r="F12">
        <f>Results_from_model!R12</f>
        <v>0.19900000000000001</v>
      </c>
      <c r="G12">
        <f>Results_from_model!S12</f>
        <v>8.1000000000000003E-2</v>
      </c>
      <c r="H12">
        <f>Results_from_model!T12</f>
        <v>0.28199999999999997</v>
      </c>
      <c r="I12">
        <f>Results_from_model!U12</f>
        <v>-5.3999999999999999E-2</v>
      </c>
      <c r="J12">
        <f>Results_from_model!V12</f>
        <v>1.7999999999999999E-2</v>
      </c>
      <c r="K12">
        <f>Results_from_model!W12</f>
        <v>0.214</v>
      </c>
      <c r="L12">
        <f>Results_from_model!X12</f>
        <v>0.17299999999999999</v>
      </c>
      <c r="M12">
        <f>Results_from_model!Y12</f>
        <v>0.121</v>
      </c>
    </row>
    <row r="13" spans="1:46" x14ac:dyDescent="0.2">
      <c r="A13" t="s">
        <v>20</v>
      </c>
      <c r="B13">
        <f>Results_from_model!N13</f>
        <v>0.39600000000000002</v>
      </c>
      <c r="C13">
        <f>Results_from_model!O13</f>
        <v>-0.11</v>
      </c>
      <c r="D13">
        <f>Results_from_model!P13</f>
        <v>0.19700000000000001</v>
      </c>
      <c r="E13">
        <f>Results_from_model!Q13</f>
        <v>6.6000000000000003E-2</v>
      </c>
      <c r="F13">
        <f>Results_from_model!R13</f>
        <v>0.313</v>
      </c>
      <c r="G13">
        <f>Results_from_model!S13</f>
        <v>0.01</v>
      </c>
      <c r="H13">
        <f>Results_from_model!T13</f>
        <v>0.39600000000000002</v>
      </c>
      <c r="I13">
        <f>Results_from_model!U13</f>
        <v>-0.11</v>
      </c>
      <c r="J13">
        <f>Results_from_model!V13</f>
        <v>0.14000000000000001</v>
      </c>
      <c r="K13">
        <f>Results_from_model!W13</f>
        <v>0.112</v>
      </c>
      <c r="L13">
        <f>Results_from_model!X13</f>
        <v>0.28699999999999998</v>
      </c>
      <c r="M13">
        <f>Results_from_model!Y13</f>
        <v>4.3999999999999997E-2</v>
      </c>
    </row>
    <row r="14" spans="1:46" x14ac:dyDescent="0.2">
      <c r="A14" t="s">
        <v>21</v>
      </c>
      <c r="B14">
        <f>Results_from_model!N14</f>
        <v>0.50600000000000001</v>
      </c>
      <c r="C14">
        <f>Results_from_model!O14</f>
        <v>-0.155</v>
      </c>
      <c r="D14">
        <f>Results_from_model!P14</f>
        <v>0.316</v>
      </c>
      <c r="E14">
        <f>Results_from_model!Q14</f>
        <v>-1.4E-2</v>
      </c>
      <c r="F14">
        <f>Results_from_model!R14</f>
        <v>0.42499999999999999</v>
      </c>
      <c r="G14">
        <f>Results_from_model!S14</f>
        <v>-5.0999999999999997E-2</v>
      </c>
      <c r="H14">
        <f>Results_from_model!T14</f>
        <v>0.50600000000000001</v>
      </c>
      <c r="I14">
        <f>Results_from_model!U14</f>
        <v>-0.155</v>
      </c>
      <c r="J14">
        <f>Results_from_model!V14</f>
        <v>0.26300000000000001</v>
      </c>
      <c r="K14">
        <f>Results_from_model!W14</f>
        <v>2.1000000000000001E-2</v>
      </c>
      <c r="L14">
        <f>Results_from_model!X14</f>
        <v>0.39900000000000002</v>
      </c>
      <c r="M14">
        <f>Results_from_model!Y14</f>
        <v>-2.1999999999999999E-2</v>
      </c>
      <c r="P14" s="20"/>
      <c r="Q14" s="20"/>
      <c r="R14" s="20" t="s">
        <v>10</v>
      </c>
      <c r="S14" s="20" t="s">
        <v>11</v>
      </c>
      <c r="AK14" s="12"/>
      <c r="AL14" s="15"/>
    </row>
    <row r="15" spans="1:46" x14ac:dyDescent="0.2">
      <c r="A15" t="s">
        <v>22</v>
      </c>
      <c r="B15">
        <f>Results_from_model!N15</f>
        <v>0.61199999999999999</v>
      </c>
      <c r="C15">
        <f>Results_from_model!O15</f>
        <v>-0.189</v>
      </c>
      <c r="D15">
        <f>Results_from_model!P15</f>
        <v>0.436</v>
      </c>
      <c r="E15">
        <f>Results_from_model!Q15</f>
        <v>-8.3000000000000004E-2</v>
      </c>
      <c r="F15">
        <f>Results_from_model!R15</f>
        <v>0.53400000000000003</v>
      </c>
      <c r="G15">
        <f>Results_from_model!S15</f>
        <v>-0.10100000000000001</v>
      </c>
      <c r="H15">
        <f>Results_from_model!T15</f>
        <v>0.61199999999999999</v>
      </c>
      <c r="I15">
        <f>Results_from_model!U15</f>
        <v>-0.189</v>
      </c>
      <c r="J15">
        <f>Results_from_model!V15</f>
        <v>0.38700000000000001</v>
      </c>
      <c r="K15">
        <f>Results_from_model!W15</f>
        <v>-5.8999999999999997E-2</v>
      </c>
      <c r="L15">
        <f>Results_from_model!X15</f>
        <v>0.51</v>
      </c>
      <c r="M15">
        <f>Results_from_model!Y15</f>
        <v>-7.6999999999999999E-2</v>
      </c>
      <c r="P15" s="27">
        <v>2026</v>
      </c>
      <c r="Q15" s="20" t="s">
        <v>13</v>
      </c>
      <c r="R15" s="20">
        <f>B9</f>
        <v>-7.4999999999999997E-2</v>
      </c>
      <c r="S15" s="20">
        <f>C9</f>
        <v>0.182</v>
      </c>
      <c r="AK15" s="12"/>
      <c r="AL15" s="15"/>
    </row>
    <row r="16" spans="1:46" x14ac:dyDescent="0.2">
      <c r="A16" t="s">
        <v>23</v>
      </c>
      <c r="B16">
        <f>Results_from_model!N16</f>
        <v>0.71599999999999997</v>
      </c>
      <c r="C16">
        <f>Results_from_model!O16</f>
        <v>-0.21299999999999999</v>
      </c>
      <c r="D16">
        <f>Results_from_model!P16</f>
        <v>0.55500000000000005</v>
      </c>
      <c r="E16">
        <f>Results_from_model!Q16</f>
        <v>-0.14199999999999999</v>
      </c>
      <c r="F16">
        <f>Results_from_model!R16</f>
        <v>0.64200000000000002</v>
      </c>
      <c r="G16">
        <f>Results_from_model!S16</f>
        <v>-0.14099999999999999</v>
      </c>
      <c r="H16">
        <f>Results_from_model!T16</f>
        <v>0.71599999999999997</v>
      </c>
      <c r="I16">
        <f>Results_from_model!U16</f>
        <v>-0.21299999999999999</v>
      </c>
      <c r="J16">
        <f>Results_from_model!V16</f>
        <v>0.51100000000000001</v>
      </c>
      <c r="K16">
        <f>Results_from_model!W16</f>
        <v>-0.129</v>
      </c>
      <c r="L16">
        <f>Results_from_model!X16</f>
        <v>0.62</v>
      </c>
      <c r="M16">
        <f>Results_from_model!Y16</f>
        <v>-0.122</v>
      </c>
      <c r="P16" s="27">
        <v>2030</v>
      </c>
      <c r="Q16" s="20" t="s">
        <v>15</v>
      </c>
      <c r="R16" s="20">
        <f>B25</f>
        <v>1.514</v>
      </c>
      <c r="S16" s="20">
        <f>C25</f>
        <v>-7.1999999999999995E-2</v>
      </c>
    </row>
    <row r="17" spans="1:38" x14ac:dyDescent="0.2">
      <c r="A17" t="s">
        <v>24</v>
      </c>
      <c r="B17">
        <f>Results_from_model!N17</f>
        <v>0.81599999999999995</v>
      </c>
      <c r="C17">
        <f>Results_from_model!O17</f>
        <v>-0.22800000000000001</v>
      </c>
      <c r="D17">
        <f>Results_from_model!P17</f>
        <v>0.67400000000000004</v>
      </c>
      <c r="E17">
        <f>Results_from_model!Q17</f>
        <v>-0.19</v>
      </c>
      <c r="F17">
        <f>Results_from_model!R17</f>
        <v>0.748</v>
      </c>
      <c r="G17">
        <f>Results_from_model!S17</f>
        <v>-0.17199999999999999</v>
      </c>
      <c r="H17">
        <f>Results_from_model!T17</f>
        <v>0.81599999999999995</v>
      </c>
      <c r="I17">
        <f>Results_from_model!U17</f>
        <v>-0.22800000000000001</v>
      </c>
      <c r="J17">
        <f>Results_from_model!V17</f>
        <v>0.63700000000000001</v>
      </c>
      <c r="K17">
        <f>Results_from_model!W17</f>
        <v>-0.187</v>
      </c>
      <c r="L17">
        <f>Results_from_model!X17</f>
        <v>0.72799999999999998</v>
      </c>
      <c r="M17">
        <f>Results_from_model!Y17</f>
        <v>-0.158</v>
      </c>
      <c r="P17" s="27">
        <v>2040</v>
      </c>
      <c r="Q17" s="20" t="s">
        <v>17</v>
      </c>
      <c r="R17" s="20">
        <f>B65</f>
        <v>3.26</v>
      </c>
      <c r="S17" s="20">
        <f>C65</f>
        <v>3.1070000000000002</v>
      </c>
    </row>
    <row r="18" spans="1:38" x14ac:dyDescent="0.2">
      <c r="A18" t="s">
        <v>25</v>
      </c>
      <c r="B18">
        <f>Results_from_model!N18</f>
        <v>0.91300000000000003</v>
      </c>
      <c r="C18">
        <f>Results_from_model!O18</f>
        <v>-0.23300000000000001</v>
      </c>
      <c r="D18">
        <f>Results_from_model!P18</f>
        <v>0.79200000000000004</v>
      </c>
      <c r="E18">
        <f>Results_from_model!Q18</f>
        <v>-0.22800000000000001</v>
      </c>
      <c r="F18">
        <f>Results_from_model!R18</f>
        <v>0.85199999999999998</v>
      </c>
      <c r="G18">
        <f>Results_from_model!S18</f>
        <v>-0.192</v>
      </c>
      <c r="H18">
        <f>Results_from_model!T18</f>
        <v>0.91300000000000003</v>
      </c>
      <c r="I18">
        <f>Results_from_model!U18</f>
        <v>-0.23300000000000001</v>
      </c>
      <c r="J18">
        <f>Results_from_model!V18</f>
        <v>0.76300000000000001</v>
      </c>
      <c r="K18">
        <f>Results_from_model!W18</f>
        <v>-0.23499999999999999</v>
      </c>
      <c r="L18">
        <f>Results_from_model!X18</f>
        <v>0.83399999999999996</v>
      </c>
      <c r="M18">
        <f>Results_from_model!Y18</f>
        <v>-0.183</v>
      </c>
      <c r="P18" s="27">
        <v>2050</v>
      </c>
      <c r="Q18" s="20" t="s">
        <v>19</v>
      </c>
      <c r="R18" s="20">
        <f>B105</f>
        <v>3.746</v>
      </c>
      <c r="S18" s="20">
        <f>C105</f>
        <v>5.4640000000000004</v>
      </c>
      <c r="AH18" s="11"/>
      <c r="AI18" s="11"/>
    </row>
    <row r="19" spans="1:38" x14ac:dyDescent="0.2">
      <c r="A19" t="s">
        <v>27</v>
      </c>
      <c r="B19">
        <f>Results_from_model!N19</f>
        <v>1.0069999999999999</v>
      </c>
      <c r="C19">
        <f>Results_from_model!O19</f>
        <v>-0.23100000000000001</v>
      </c>
      <c r="D19">
        <f>Results_from_model!P19</f>
        <v>0.91100000000000003</v>
      </c>
      <c r="E19">
        <f>Results_from_model!Q19</f>
        <v>-0.25700000000000001</v>
      </c>
      <c r="F19">
        <f>Results_from_model!R19</f>
        <v>0.95399999999999996</v>
      </c>
      <c r="G19">
        <f>Results_from_model!S19</f>
        <v>-0.20499999999999999</v>
      </c>
      <c r="H19">
        <f>Results_from_model!T19</f>
        <v>1.0069999999999999</v>
      </c>
      <c r="I19">
        <f>Results_from_model!U19</f>
        <v>-0.23100000000000001</v>
      </c>
      <c r="J19">
        <f>Results_from_model!V19</f>
        <v>0.89</v>
      </c>
      <c r="K19">
        <f>Results_from_model!W19</f>
        <v>-0.27300000000000002</v>
      </c>
      <c r="L19">
        <f>Results_from_model!X19</f>
        <v>0.93799999999999994</v>
      </c>
      <c r="M19">
        <f>Results_from_model!Y19</f>
        <v>-0.2</v>
      </c>
      <c r="AH19" s="11"/>
      <c r="AI19" s="11"/>
      <c r="AK19" s="12"/>
      <c r="AL19" s="15"/>
    </row>
    <row r="20" spans="1:38" x14ac:dyDescent="0.2">
      <c r="A20" t="s">
        <v>28</v>
      </c>
      <c r="B20">
        <f>Results_from_model!N20</f>
        <v>1.0980000000000001</v>
      </c>
      <c r="C20">
        <f>Results_from_model!O20</f>
        <v>-0.221</v>
      </c>
      <c r="D20">
        <f>Results_from_model!P20</f>
        <v>1.0289999999999999</v>
      </c>
      <c r="E20">
        <f>Results_from_model!Q20</f>
        <v>-0.27600000000000002</v>
      </c>
      <c r="F20">
        <f>Results_from_model!R20</f>
        <v>1.054</v>
      </c>
      <c r="G20">
        <f>Results_from_model!S20</f>
        <v>-0.20799999999999999</v>
      </c>
      <c r="H20">
        <f>Results_from_model!T20</f>
        <v>1.0980000000000001</v>
      </c>
      <c r="I20">
        <f>Results_from_model!U20</f>
        <v>-0.221</v>
      </c>
      <c r="J20">
        <f>Results_from_model!V20</f>
        <v>1.018</v>
      </c>
      <c r="K20">
        <f>Results_from_model!W20</f>
        <v>-0.30099999999999999</v>
      </c>
      <c r="L20">
        <f>Results_from_model!X20</f>
        <v>1.042</v>
      </c>
      <c r="M20">
        <f>Results_from_model!Y20</f>
        <v>-0.20799999999999999</v>
      </c>
      <c r="AH20" s="11"/>
      <c r="AI20" s="11"/>
      <c r="AK20" s="12"/>
      <c r="AL20" s="15"/>
    </row>
    <row r="21" spans="1:38" x14ac:dyDescent="0.2">
      <c r="A21" t="s">
        <v>29</v>
      </c>
      <c r="B21">
        <f>Results_from_model!N21</f>
        <v>1.1859999999999999</v>
      </c>
      <c r="C21">
        <f>Results_from_model!O21</f>
        <v>-0.20399999999999999</v>
      </c>
      <c r="D21">
        <f>Results_from_model!P21</f>
        <v>1.147</v>
      </c>
      <c r="E21">
        <f>Results_from_model!Q21</f>
        <v>-0.28599999999999998</v>
      </c>
      <c r="F21">
        <f>Results_from_model!R21</f>
        <v>1.1519999999999999</v>
      </c>
      <c r="G21">
        <f>Results_from_model!S21</f>
        <v>-0.20399999999999999</v>
      </c>
      <c r="H21">
        <f>Results_from_model!T21</f>
        <v>1.1859999999999999</v>
      </c>
      <c r="I21">
        <f>Results_from_model!U21</f>
        <v>-0.20399999999999999</v>
      </c>
      <c r="J21">
        <f>Results_from_model!V21</f>
        <v>1.1459999999999999</v>
      </c>
      <c r="K21">
        <f>Results_from_model!W21</f>
        <v>-0.31900000000000001</v>
      </c>
      <c r="L21">
        <f>Results_from_model!X21</f>
        <v>1.143</v>
      </c>
      <c r="M21">
        <f>Results_from_model!Y21</f>
        <v>-0.20799999999999999</v>
      </c>
    </row>
    <row r="22" spans="1:38" x14ac:dyDescent="0.2">
      <c r="A22" t="s">
        <v>30</v>
      </c>
      <c r="B22">
        <f>Results_from_model!N22</f>
        <v>1.272</v>
      </c>
      <c r="C22">
        <f>Results_from_model!O22</f>
        <v>-0.18</v>
      </c>
      <c r="D22">
        <f>Results_from_model!P22</f>
        <v>1.2649999999999999</v>
      </c>
      <c r="E22">
        <f>Results_from_model!Q22</f>
        <v>-0.28699999999999998</v>
      </c>
      <c r="F22">
        <f>Results_from_model!R22</f>
        <v>1.248</v>
      </c>
      <c r="G22">
        <f>Results_from_model!S22</f>
        <v>-0.193</v>
      </c>
      <c r="H22">
        <f>Results_from_model!T22</f>
        <v>1.272</v>
      </c>
      <c r="I22">
        <f>Results_from_model!U22</f>
        <v>-0.18</v>
      </c>
      <c r="J22">
        <f>Results_from_model!V22</f>
        <v>1.274</v>
      </c>
      <c r="K22">
        <f>Results_from_model!W22</f>
        <v>-0.32800000000000001</v>
      </c>
      <c r="L22">
        <f>Results_from_model!X22</f>
        <v>1.244</v>
      </c>
      <c r="M22">
        <f>Results_from_model!Y22</f>
        <v>-0.2</v>
      </c>
    </row>
    <row r="23" spans="1:38" x14ac:dyDescent="0.2">
      <c r="A23" t="s">
        <v>31</v>
      </c>
      <c r="B23">
        <f>Results_from_model!N23</f>
        <v>1.355</v>
      </c>
      <c r="C23">
        <f>Results_from_model!O23</f>
        <v>-0.15</v>
      </c>
      <c r="D23">
        <f>Results_from_model!P23</f>
        <v>1.3819999999999999</v>
      </c>
      <c r="E23">
        <f>Results_from_model!Q23</f>
        <v>-0.28000000000000003</v>
      </c>
      <c r="F23">
        <f>Results_from_model!R23</f>
        <v>1.343</v>
      </c>
      <c r="G23">
        <f>Results_from_model!S23</f>
        <v>-0.17399999999999999</v>
      </c>
      <c r="H23">
        <f>Results_from_model!T23</f>
        <v>1.355</v>
      </c>
      <c r="I23">
        <f>Results_from_model!U23</f>
        <v>-0.15</v>
      </c>
      <c r="J23">
        <f>Results_from_model!V23</f>
        <v>1.403</v>
      </c>
      <c r="K23">
        <f>Results_from_model!W23</f>
        <v>-0.32700000000000001</v>
      </c>
      <c r="L23">
        <f>Results_from_model!X23</f>
        <v>1.3420000000000001</v>
      </c>
      <c r="M23">
        <f>Results_from_model!Y23</f>
        <v>-0.185</v>
      </c>
    </row>
    <row r="24" spans="1:38" x14ac:dyDescent="0.2">
      <c r="A24" t="s">
        <v>32</v>
      </c>
      <c r="B24">
        <f>Results_from_model!N24</f>
        <v>1.4359999999999999</v>
      </c>
      <c r="C24">
        <f>Results_from_model!O24</f>
        <v>-0.114</v>
      </c>
      <c r="D24">
        <f>Results_from_model!P24</f>
        <v>1.4990000000000001</v>
      </c>
      <c r="E24">
        <f>Results_from_model!Q24</f>
        <v>-0.26500000000000001</v>
      </c>
      <c r="F24">
        <f>Results_from_model!R24</f>
        <v>1.4359999999999999</v>
      </c>
      <c r="G24">
        <f>Results_from_model!S24</f>
        <v>-0.14899999999999999</v>
      </c>
      <c r="H24">
        <f>Results_from_model!T24</f>
        <v>1.4359999999999999</v>
      </c>
      <c r="I24">
        <f>Results_from_model!U24</f>
        <v>-0.114</v>
      </c>
      <c r="J24">
        <f>Results_from_model!V24</f>
        <v>1.5329999999999999</v>
      </c>
      <c r="K24">
        <f>Results_from_model!W24</f>
        <v>-0.318</v>
      </c>
      <c r="L24">
        <f>Results_from_model!X24</f>
        <v>1.44</v>
      </c>
      <c r="M24">
        <f>Results_from_model!Y24</f>
        <v>-0.16300000000000001</v>
      </c>
    </row>
    <row r="25" spans="1:38" x14ac:dyDescent="0.2">
      <c r="A25" t="s">
        <v>15</v>
      </c>
      <c r="B25">
        <f>Results_from_model!N25</f>
        <v>1.514</v>
      </c>
      <c r="C25">
        <f>Results_from_model!O25</f>
        <v>-7.1999999999999995E-2</v>
      </c>
      <c r="D25">
        <f>Results_from_model!P25</f>
        <v>1.6160000000000001</v>
      </c>
      <c r="E25">
        <f>Results_from_model!Q25</f>
        <v>-0.24199999999999999</v>
      </c>
      <c r="F25">
        <f>Results_from_model!R25</f>
        <v>1.528</v>
      </c>
      <c r="G25">
        <f>Results_from_model!S25</f>
        <v>-0.11700000000000001</v>
      </c>
      <c r="H25">
        <f>Results_from_model!T25</f>
        <v>1.514</v>
      </c>
      <c r="I25">
        <f>Results_from_model!U25</f>
        <v>-7.1999999999999995E-2</v>
      </c>
      <c r="J25">
        <f>Results_from_model!V25</f>
        <v>1.6619999999999999</v>
      </c>
      <c r="K25">
        <f>Results_from_model!W25</f>
        <v>-0.3</v>
      </c>
      <c r="L25">
        <f>Results_from_model!X25</f>
        <v>1.536</v>
      </c>
      <c r="M25">
        <f>Results_from_model!Y25</f>
        <v>-0.13500000000000001</v>
      </c>
    </row>
    <row r="26" spans="1:38" x14ac:dyDescent="0.2">
      <c r="A26" t="s">
        <v>33</v>
      </c>
      <c r="B26">
        <f>Results_from_model!N26</f>
        <v>1.589</v>
      </c>
      <c r="C26">
        <f>Results_from_model!O26</f>
        <v>-2.5999999999999999E-2</v>
      </c>
      <c r="D26">
        <f>Results_from_model!P26</f>
        <v>1.7330000000000001</v>
      </c>
      <c r="E26">
        <f>Results_from_model!Q26</f>
        <v>-0.21199999999999999</v>
      </c>
      <c r="F26">
        <f>Results_from_model!R26</f>
        <v>1.6180000000000001</v>
      </c>
      <c r="G26">
        <f>Results_from_model!S26</f>
        <v>-0.08</v>
      </c>
      <c r="H26">
        <f>Results_from_model!T26</f>
        <v>1.589</v>
      </c>
      <c r="I26">
        <f>Results_from_model!U26</f>
        <v>-2.5999999999999999E-2</v>
      </c>
      <c r="J26">
        <f>Results_from_model!V26</f>
        <v>1.7929999999999999</v>
      </c>
      <c r="K26">
        <f>Results_from_model!W26</f>
        <v>-0.27300000000000002</v>
      </c>
      <c r="L26">
        <f>Results_from_model!X26</f>
        <v>1.631</v>
      </c>
      <c r="M26">
        <f>Results_from_model!Y26</f>
        <v>-0.1</v>
      </c>
    </row>
    <row r="27" spans="1:38" x14ac:dyDescent="0.2">
      <c r="A27" t="s">
        <v>34</v>
      </c>
      <c r="B27">
        <f>Results_from_model!N27</f>
        <v>1.6619999999999999</v>
      </c>
      <c r="C27">
        <f>Results_from_model!O27</f>
        <v>2.5000000000000001E-2</v>
      </c>
      <c r="D27">
        <f>Results_from_model!P27</f>
        <v>1.85</v>
      </c>
      <c r="E27">
        <f>Results_from_model!Q27</f>
        <v>-0.17499999999999999</v>
      </c>
      <c r="F27">
        <f>Results_from_model!R27</f>
        <v>1.706</v>
      </c>
      <c r="G27">
        <f>Results_from_model!S27</f>
        <v>-3.5999999999999997E-2</v>
      </c>
      <c r="H27">
        <f>Results_from_model!T27</f>
        <v>1.6619999999999999</v>
      </c>
      <c r="I27">
        <f>Results_from_model!U27</f>
        <v>2.5000000000000001E-2</v>
      </c>
      <c r="J27">
        <f>Results_from_model!V27</f>
        <v>1.923</v>
      </c>
      <c r="K27">
        <f>Results_from_model!W27</f>
        <v>-0.23899999999999999</v>
      </c>
      <c r="L27">
        <f>Results_from_model!X27</f>
        <v>1.724</v>
      </c>
      <c r="M27">
        <f>Results_from_model!Y27</f>
        <v>-5.8999999999999997E-2</v>
      </c>
    </row>
    <row r="28" spans="1:38" x14ac:dyDescent="0.2">
      <c r="A28" t="s">
        <v>35</v>
      </c>
      <c r="B28">
        <f>Results_from_model!N28</f>
        <v>1.7330000000000001</v>
      </c>
      <c r="C28">
        <f>Results_from_model!O28</f>
        <v>0.08</v>
      </c>
      <c r="D28">
        <f>Results_from_model!P28</f>
        <v>1.966</v>
      </c>
      <c r="E28">
        <f>Results_from_model!Q28</f>
        <v>-0.13</v>
      </c>
      <c r="F28">
        <f>Results_from_model!R28</f>
        <v>1.7929999999999999</v>
      </c>
      <c r="G28">
        <f>Results_from_model!S28</f>
        <v>1.2E-2</v>
      </c>
      <c r="H28">
        <f>Results_from_model!T28</f>
        <v>1.7330000000000001</v>
      </c>
      <c r="I28">
        <f>Results_from_model!U28</f>
        <v>0.08</v>
      </c>
      <c r="J28">
        <f>Results_from_model!V28</f>
        <v>2.0539999999999998</v>
      </c>
      <c r="K28">
        <f>Results_from_model!W28</f>
        <v>-0.19700000000000001</v>
      </c>
      <c r="L28">
        <f>Results_from_model!X28</f>
        <v>1.8169999999999999</v>
      </c>
      <c r="M28">
        <f>Results_from_model!Y28</f>
        <v>-1.2E-2</v>
      </c>
    </row>
    <row r="29" spans="1:38" x14ac:dyDescent="0.2">
      <c r="A29" t="s">
        <v>36</v>
      </c>
      <c r="B29">
        <f>Results_from_model!N29</f>
        <v>1.802</v>
      </c>
      <c r="C29">
        <f>Results_from_model!O29</f>
        <v>0.14000000000000001</v>
      </c>
      <c r="D29">
        <f>Results_from_model!P29</f>
        <v>2.0819999999999999</v>
      </c>
      <c r="E29">
        <f>Results_from_model!Q29</f>
        <v>-7.9000000000000001E-2</v>
      </c>
      <c r="F29">
        <f>Results_from_model!R29</f>
        <v>1.8779999999999999</v>
      </c>
      <c r="G29">
        <f>Results_from_model!S29</f>
        <v>6.5000000000000002E-2</v>
      </c>
      <c r="H29">
        <f>Results_from_model!T29</f>
        <v>1.802</v>
      </c>
      <c r="I29">
        <f>Results_from_model!U29</f>
        <v>0.14000000000000001</v>
      </c>
      <c r="J29">
        <f>Results_from_model!V29</f>
        <v>2.1850000000000001</v>
      </c>
      <c r="K29">
        <f>Results_from_model!W29</f>
        <v>-0.14699999999999999</v>
      </c>
      <c r="L29">
        <f>Results_from_model!X29</f>
        <v>1.9079999999999999</v>
      </c>
      <c r="M29">
        <f>Results_from_model!Y29</f>
        <v>0.04</v>
      </c>
    </row>
    <row r="30" spans="1:38" x14ac:dyDescent="0.2">
      <c r="A30" t="s">
        <v>37</v>
      </c>
      <c r="B30">
        <f>Results_from_model!N30</f>
        <v>1.869</v>
      </c>
      <c r="C30">
        <f>Results_from_model!O30</f>
        <v>0.20200000000000001</v>
      </c>
      <c r="D30">
        <f>Results_from_model!P30</f>
        <v>2.1970000000000001</v>
      </c>
      <c r="E30">
        <f>Results_from_model!Q30</f>
        <v>-2.1999999999999999E-2</v>
      </c>
      <c r="F30">
        <f>Results_from_model!R30</f>
        <v>1.962</v>
      </c>
      <c r="G30">
        <f>Results_from_model!S30</f>
        <v>0.123</v>
      </c>
      <c r="H30">
        <f>Results_from_model!T30</f>
        <v>1.869</v>
      </c>
      <c r="I30">
        <f>Results_from_model!U30</f>
        <v>0.20200000000000001</v>
      </c>
      <c r="J30">
        <f>Results_from_model!V30</f>
        <v>2.3159999999999998</v>
      </c>
      <c r="K30">
        <f>Results_from_model!W30</f>
        <v>-0.09</v>
      </c>
      <c r="L30">
        <f>Results_from_model!X30</f>
        <v>1.9970000000000001</v>
      </c>
      <c r="M30">
        <f>Results_from_model!Y30</f>
        <v>9.7000000000000003E-2</v>
      </c>
    </row>
    <row r="31" spans="1:38" x14ac:dyDescent="0.2">
      <c r="A31" t="s">
        <v>38</v>
      </c>
      <c r="B31">
        <f>Results_from_model!N31</f>
        <v>1.9330000000000001</v>
      </c>
      <c r="C31">
        <f>Results_from_model!O31</f>
        <v>0.26800000000000002</v>
      </c>
      <c r="D31">
        <f>Results_from_model!P31</f>
        <v>2.3130000000000002</v>
      </c>
      <c r="E31">
        <f>Results_from_model!Q31</f>
        <v>4.1000000000000002E-2</v>
      </c>
      <c r="F31">
        <f>Results_from_model!R31</f>
        <v>2.0449999999999999</v>
      </c>
      <c r="G31">
        <f>Results_from_model!S31</f>
        <v>0.186</v>
      </c>
      <c r="H31">
        <f>Results_from_model!T31</f>
        <v>1.9330000000000001</v>
      </c>
      <c r="I31">
        <f>Results_from_model!U31</f>
        <v>0.26800000000000002</v>
      </c>
      <c r="J31">
        <f>Results_from_model!V31</f>
        <v>2.4470000000000001</v>
      </c>
      <c r="K31">
        <f>Results_from_model!W31</f>
        <v>-2.5999999999999999E-2</v>
      </c>
      <c r="L31">
        <f>Results_from_model!X31</f>
        <v>2.0859999999999999</v>
      </c>
      <c r="M31">
        <f>Results_from_model!Y31</f>
        <v>0.158</v>
      </c>
    </row>
    <row r="32" spans="1:38" x14ac:dyDescent="0.2">
      <c r="A32" t="s">
        <v>39</v>
      </c>
      <c r="B32">
        <f>Results_from_model!N32</f>
        <v>1.996</v>
      </c>
      <c r="C32">
        <f>Results_from_model!O32</f>
        <v>0.33700000000000002</v>
      </c>
      <c r="D32">
        <f>Results_from_model!P32</f>
        <v>2.4279999999999999</v>
      </c>
      <c r="E32">
        <f>Results_from_model!Q32</f>
        <v>0.111</v>
      </c>
      <c r="F32">
        <f>Results_from_model!R32</f>
        <v>2.1259999999999999</v>
      </c>
      <c r="G32">
        <f>Results_from_model!S32</f>
        <v>0.252</v>
      </c>
      <c r="H32">
        <f>Results_from_model!T32</f>
        <v>1.996</v>
      </c>
      <c r="I32">
        <f>Results_from_model!U32</f>
        <v>0.33700000000000002</v>
      </c>
      <c r="J32">
        <f>Results_from_model!V32</f>
        <v>2.5790000000000002</v>
      </c>
      <c r="K32">
        <f>Results_from_model!W32</f>
        <v>4.3999999999999997E-2</v>
      </c>
      <c r="L32">
        <f>Results_from_model!X32</f>
        <v>2.1739999999999999</v>
      </c>
      <c r="M32">
        <f>Results_from_model!Y32</f>
        <v>0.224</v>
      </c>
    </row>
    <row r="33" spans="1:41" x14ac:dyDescent="0.2">
      <c r="A33" t="s">
        <v>40</v>
      </c>
      <c r="B33">
        <f>Results_from_model!N33</f>
        <v>2.0569999999999999</v>
      </c>
      <c r="C33">
        <f>Results_from_model!O33</f>
        <v>0.40899999999999997</v>
      </c>
      <c r="D33">
        <f>Results_from_model!P33</f>
        <v>2.544</v>
      </c>
      <c r="E33">
        <f>Results_from_model!Q33</f>
        <v>0.185</v>
      </c>
      <c r="F33">
        <f>Results_from_model!R33</f>
        <v>2.206</v>
      </c>
      <c r="G33">
        <f>Results_from_model!S33</f>
        <v>0.32300000000000001</v>
      </c>
      <c r="H33">
        <f>Results_from_model!T33</f>
        <v>2.0569999999999999</v>
      </c>
      <c r="I33">
        <f>Results_from_model!U33</f>
        <v>0.40899999999999997</v>
      </c>
      <c r="J33">
        <f>Results_from_model!V33</f>
        <v>2.7109999999999999</v>
      </c>
      <c r="K33">
        <f>Results_from_model!W33</f>
        <v>0.122</v>
      </c>
      <c r="L33">
        <f>Results_from_model!X33</f>
        <v>2.2599999999999998</v>
      </c>
      <c r="M33">
        <f>Results_from_model!Y33</f>
        <v>0.29499999999999998</v>
      </c>
    </row>
    <row r="34" spans="1:41" x14ac:dyDescent="0.2">
      <c r="A34" t="s">
        <v>41</v>
      </c>
      <c r="B34">
        <f>Results_from_model!N34</f>
        <v>2.1150000000000002</v>
      </c>
      <c r="C34">
        <f>Results_from_model!O34</f>
        <v>0.48299999999999998</v>
      </c>
      <c r="D34">
        <f>Results_from_model!P34</f>
        <v>2.6589999999999998</v>
      </c>
      <c r="E34">
        <f>Results_from_model!Q34</f>
        <v>0.26600000000000001</v>
      </c>
      <c r="F34">
        <f>Results_from_model!R34</f>
        <v>2.2850000000000001</v>
      </c>
      <c r="G34">
        <f>Results_from_model!S34</f>
        <v>0.39700000000000002</v>
      </c>
      <c r="H34">
        <f>Results_from_model!T34</f>
        <v>2.1150000000000002</v>
      </c>
      <c r="I34">
        <f>Results_from_model!U34</f>
        <v>0.48299999999999998</v>
      </c>
      <c r="J34">
        <f>Results_from_model!V34</f>
        <v>2.8439999999999999</v>
      </c>
      <c r="K34">
        <f>Results_from_model!W34</f>
        <v>0.20499999999999999</v>
      </c>
      <c r="L34">
        <f>Results_from_model!X34</f>
        <v>2.3460000000000001</v>
      </c>
      <c r="M34">
        <f>Results_from_model!Y34</f>
        <v>0.36899999999999999</v>
      </c>
    </row>
    <row r="35" spans="1:41" x14ac:dyDescent="0.2">
      <c r="A35" t="s">
        <v>42</v>
      </c>
      <c r="B35">
        <f>Results_from_model!N35</f>
        <v>2.1720000000000002</v>
      </c>
      <c r="C35">
        <f>Results_from_model!O35</f>
        <v>0.55900000000000005</v>
      </c>
      <c r="D35">
        <f>Results_from_model!P35</f>
        <v>2.774</v>
      </c>
      <c r="E35">
        <f>Results_from_model!Q35</f>
        <v>0.35099999999999998</v>
      </c>
      <c r="F35">
        <f>Results_from_model!R35</f>
        <v>2.363</v>
      </c>
      <c r="G35">
        <f>Results_from_model!S35</f>
        <v>0.47399999999999998</v>
      </c>
      <c r="H35">
        <f>Results_from_model!T35</f>
        <v>2.1720000000000002</v>
      </c>
      <c r="I35">
        <f>Results_from_model!U35</f>
        <v>0.55900000000000005</v>
      </c>
      <c r="J35">
        <f>Results_from_model!V35</f>
        <v>2.9769999999999999</v>
      </c>
      <c r="K35">
        <f>Results_from_model!W35</f>
        <v>0.29499999999999998</v>
      </c>
      <c r="L35">
        <f>Results_from_model!X35</f>
        <v>2.4300000000000002</v>
      </c>
      <c r="M35">
        <f>Results_from_model!Y35</f>
        <v>0.44700000000000001</v>
      </c>
      <c r="AH35" s="10"/>
      <c r="AI35" s="10"/>
      <c r="AJ35" s="10"/>
      <c r="AK35" s="10"/>
      <c r="AL35" s="3"/>
      <c r="AM35" s="3"/>
      <c r="AN35" s="3"/>
      <c r="AO35" s="3"/>
    </row>
    <row r="36" spans="1:41" x14ac:dyDescent="0.2">
      <c r="A36" t="s">
        <v>43</v>
      </c>
      <c r="B36">
        <f>Results_from_model!N36</f>
        <v>2.2280000000000002</v>
      </c>
      <c r="C36">
        <f>Results_from_model!O36</f>
        <v>0.63700000000000001</v>
      </c>
      <c r="D36">
        <f>Results_from_model!P36</f>
        <v>2.8889999999999998</v>
      </c>
      <c r="E36">
        <f>Results_from_model!Q36</f>
        <v>0.441</v>
      </c>
      <c r="F36">
        <f>Results_from_model!R36</f>
        <v>2.4390000000000001</v>
      </c>
      <c r="G36">
        <f>Results_from_model!S36</f>
        <v>0.55500000000000005</v>
      </c>
      <c r="H36">
        <f>Results_from_model!T36</f>
        <v>2.2280000000000002</v>
      </c>
      <c r="I36">
        <f>Results_from_model!U36</f>
        <v>0.63700000000000001</v>
      </c>
      <c r="J36">
        <f>Results_from_model!V36</f>
        <v>3.11</v>
      </c>
      <c r="K36">
        <f>Results_from_model!W36</f>
        <v>0.39</v>
      </c>
      <c r="L36">
        <f>Results_from_model!X36</f>
        <v>2.5129999999999999</v>
      </c>
      <c r="M36">
        <f>Results_from_model!Y36</f>
        <v>0.52900000000000003</v>
      </c>
    </row>
    <row r="37" spans="1:41" x14ac:dyDescent="0.2">
      <c r="A37" t="s">
        <v>44</v>
      </c>
      <c r="B37">
        <f>Results_from_model!N37</f>
        <v>2.2810000000000001</v>
      </c>
      <c r="C37">
        <f>Results_from_model!O37</f>
        <v>0.71699999999999997</v>
      </c>
      <c r="D37">
        <f>Results_from_model!P37</f>
        <v>3.004</v>
      </c>
      <c r="E37">
        <f>Results_from_model!Q37</f>
        <v>0.53600000000000003</v>
      </c>
      <c r="F37">
        <f>Results_from_model!R37</f>
        <v>2.5139999999999998</v>
      </c>
      <c r="G37">
        <f>Results_from_model!S37</f>
        <v>0.63800000000000001</v>
      </c>
      <c r="H37">
        <f>Results_from_model!T37</f>
        <v>2.2810000000000001</v>
      </c>
      <c r="I37">
        <f>Results_from_model!U37</f>
        <v>0.71699999999999997</v>
      </c>
      <c r="J37">
        <f>Results_from_model!V37</f>
        <v>3.2440000000000002</v>
      </c>
      <c r="K37">
        <f>Results_from_model!W37</f>
        <v>0.49099999999999999</v>
      </c>
      <c r="L37">
        <f>Results_from_model!X37</f>
        <v>2.5950000000000002</v>
      </c>
      <c r="M37">
        <f>Results_from_model!Y37</f>
        <v>0.61399999999999999</v>
      </c>
    </row>
    <row r="38" spans="1:41" x14ac:dyDescent="0.2">
      <c r="A38" t="s">
        <v>45</v>
      </c>
      <c r="B38">
        <f>Results_from_model!N38</f>
        <v>2.3330000000000002</v>
      </c>
      <c r="C38">
        <f>Results_from_model!O38</f>
        <v>0.79900000000000004</v>
      </c>
      <c r="D38">
        <f>Results_from_model!P38</f>
        <v>3.12</v>
      </c>
      <c r="E38">
        <f>Results_from_model!Q38</f>
        <v>0.63500000000000001</v>
      </c>
      <c r="F38">
        <f>Results_from_model!R38</f>
        <v>2.5880000000000001</v>
      </c>
      <c r="G38">
        <f>Results_from_model!S38</f>
        <v>0.72399999999999998</v>
      </c>
      <c r="H38">
        <f>Results_from_model!T38</f>
        <v>2.3330000000000002</v>
      </c>
      <c r="I38">
        <f>Results_from_model!U38</f>
        <v>0.79900000000000004</v>
      </c>
      <c r="J38">
        <f>Results_from_model!V38</f>
        <v>3.3780000000000001</v>
      </c>
      <c r="K38">
        <f>Results_from_model!W38</f>
        <v>0.59699999999999998</v>
      </c>
      <c r="L38">
        <f>Results_from_model!X38</f>
        <v>2.677</v>
      </c>
      <c r="M38">
        <f>Results_from_model!Y38</f>
        <v>0.70199999999999996</v>
      </c>
    </row>
    <row r="39" spans="1:41" x14ac:dyDescent="0.2">
      <c r="A39" t="s">
        <v>46</v>
      </c>
      <c r="B39">
        <f>Results_from_model!N39</f>
        <v>2.383</v>
      </c>
      <c r="C39">
        <f>Results_from_model!O39</f>
        <v>0.88200000000000001</v>
      </c>
      <c r="D39">
        <f>Results_from_model!P39</f>
        <v>3.2349999999999999</v>
      </c>
      <c r="E39">
        <f>Results_from_model!Q39</f>
        <v>0.73799999999999999</v>
      </c>
      <c r="F39">
        <f>Results_from_model!R39</f>
        <v>2.661</v>
      </c>
      <c r="G39">
        <f>Results_from_model!S39</f>
        <v>0.81299999999999994</v>
      </c>
      <c r="H39">
        <f>Results_from_model!T39</f>
        <v>2.383</v>
      </c>
      <c r="I39">
        <f>Results_from_model!U39</f>
        <v>0.88200000000000001</v>
      </c>
      <c r="J39">
        <f>Results_from_model!V39</f>
        <v>3.5129999999999999</v>
      </c>
      <c r="K39">
        <f>Results_from_model!W39</f>
        <v>0.70899999999999996</v>
      </c>
      <c r="L39">
        <f>Results_from_model!X39</f>
        <v>2.7570000000000001</v>
      </c>
      <c r="M39">
        <f>Results_from_model!Y39</f>
        <v>0.79200000000000004</v>
      </c>
      <c r="U39" s="17"/>
      <c r="V39" s="15"/>
    </row>
    <row r="40" spans="1:41" x14ac:dyDescent="0.2">
      <c r="A40" t="s">
        <v>47</v>
      </c>
      <c r="B40">
        <f>Results_from_model!N40</f>
        <v>2.4319999999999999</v>
      </c>
      <c r="C40">
        <f>Results_from_model!O40</f>
        <v>0.96599999999999997</v>
      </c>
      <c r="D40">
        <f>Results_from_model!P40</f>
        <v>3.351</v>
      </c>
      <c r="E40">
        <f>Results_from_model!Q40</f>
        <v>0.84599999999999997</v>
      </c>
      <c r="F40">
        <f>Results_from_model!R40</f>
        <v>2.7330000000000001</v>
      </c>
      <c r="G40">
        <f>Results_from_model!S40</f>
        <v>0.90400000000000003</v>
      </c>
      <c r="H40">
        <f>Results_from_model!T40</f>
        <v>2.4319999999999999</v>
      </c>
      <c r="I40">
        <f>Results_from_model!U40</f>
        <v>0.96599999999999997</v>
      </c>
      <c r="J40">
        <f>Results_from_model!V40</f>
        <v>3.649</v>
      </c>
      <c r="K40">
        <f>Results_from_model!W40</f>
        <v>0.82499999999999996</v>
      </c>
      <c r="L40">
        <f>Results_from_model!X40</f>
        <v>2.8359999999999999</v>
      </c>
      <c r="M40">
        <f>Results_from_model!Y40</f>
        <v>0.88600000000000001</v>
      </c>
      <c r="U40" s="17"/>
      <c r="V40" s="15"/>
    </row>
    <row r="41" spans="1:41" x14ac:dyDescent="0.2">
      <c r="A41" t="s">
        <v>48</v>
      </c>
      <c r="B41">
        <f>Results_from_model!N41</f>
        <v>2.4790000000000001</v>
      </c>
      <c r="C41">
        <f>Results_from_model!O41</f>
        <v>1.0509999999999999</v>
      </c>
      <c r="D41">
        <f>Results_from_model!P41</f>
        <v>3.4670000000000001</v>
      </c>
      <c r="E41">
        <f>Results_from_model!Q41</f>
        <v>0.95699999999999996</v>
      </c>
      <c r="F41">
        <f>Results_from_model!R41</f>
        <v>2.8039999999999998</v>
      </c>
      <c r="G41">
        <f>Results_from_model!S41</f>
        <v>0.997</v>
      </c>
      <c r="H41">
        <f>Results_from_model!T41</f>
        <v>2.4790000000000001</v>
      </c>
      <c r="I41">
        <f>Results_from_model!U41</f>
        <v>1.0509999999999999</v>
      </c>
      <c r="J41">
        <f>Results_from_model!V41</f>
        <v>3.7850000000000001</v>
      </c>
      <c r="K41">
        <f>Results_from_model!W41</f>
        <v>0.94599999999999995</v>
      </c>
      <c r="L41">
        <f>Results_from_model!X41</f>
        <v>2.915</v>
      </c>
      <c r="M41">
        <f>Results_from_model!Y41</f>
        <v>0.98199999999999998</v>
      </c>
    </row>
    <row r="42" spans="1:41" x14ac:dyDescent="0.2">
      <c r="A42" t="s">
        <v>49</v>
      </c>
      <c r="B42">
        <f>Results_from_model!N42</f>
        <v>2.5249999999999999</v>
      </c>
      <c r="C42">
        <f>Results_from_model!O42</f>
        <v>1.137</v>
      </c>
      <c r="D42">
        <f>Results_from_model!P42</f>
        <v>3.5830000000000002</v>
      </c>
      <c r="E42">
        <f>Results_from_model!Q42</f>
        <v>1.073</v>
      </c>
      <c r="F42">
        <f>Results_from_model!R42</f>
        <v>2.8740000000000001</v>
      </c>
      <c r="G42">
        <f>Results_from_model!S42</f>
        <v>1.0920000000000001</v>
      </c>
      <c r="H42">
        <f>Results_from_model!T42</f>
        <v>2.5249999999999999</v>
      </c>
      <c r="I42">
        <f>Results_from_model!U42</f>
        <v>1.137</v>
      </c>
      <c r="J42">
        <f>Results_from_model!V42</f>
        <v>3.923</v>
      </c>
      <c r="K42">
        <f>Results_from_model!W42</f>
        <v>1.0720000000000001</v>
      </c>
      <c r="L42">
        <f>Results_from_model!X42</f>
        <v>2.9929999999999999</v>
      </c>
      <c r="M42">
        <f>Results_from_model!Y42</f>
        <v>1.081</v>
      </c>
    </row>
    <row r="43" spans="1:41" x14ac:dyDescent="0.2">
      <c r="A43" t="s">
        <v>50</v>
      </c>
      <c r="B43">
        <f>Results_from_model!N43</f>
        <v>2.569</v>
      </c>
      <c r="C43">
        <f>Results_from_model!O43</f>
        <v>1.224</v>
      </c>
      <c r="D43">
        <f>Results_from_model!P43</f>
        <v>3.7</v>
      </c>
      <c r="E43">
        <f>Results_from_model!Q43</f>
        <v>1.1910000000000001</v>
      </c>
      <c r="F43">
        <f>Results_from_model!R43</f>
        <v>2.9420000000000002</v>
      </c>
      <c r="G43">
        <f>Results_from_model!S43</f>
        <v>1.1890000000000001</v>
      </c>
      <c r="H43">
        <f>Results_from_model!T43</f>
        <v>2.569</v>
      </c>
      <c r="I43">
        <f>Results_from_model!U43</f>
        <v>1.224</v>
      </c>
      <c r="J43">
        <f>Results_from_model!V43</f>
        <v>4.0609999999999999</v>
      </c>
      <c r="K43">
        <f>Results_from_model!W43</f>
        <v>1.202</v>
      </c>
      <c r="L43">
        <f>Results_from_model!X43</f>
        <v>3.069</v>
      </c>
      <c r="M43">
        <f>Results_from_model!Y43</f>
        <v>1.1819999999999999</v>
      </c>
    </row>
    <row r="44" spans="1:41" ht="26.25" x14ac:dyDescent="0.4">
      <c r="A44" t="s">
        <v>51</v>
      </c>
      <c r="B44">
        <f>Results_from_model!N44</f>
        <v>2.6120000000000001</v>
      </c>
      <c r="C44">
        <f>Results_from_model!O44</f>
        <v>1.3109999999999999</v>
      </c>
      <c r="D44">
        <f>Results_from_model!P44</f>
        <v>3.8180000000000001</v>
      </c>
      <c r="E44">
        <f>Results_from_model!Q44</f>
        <v>1.3140000000000001</v>
      </c>
      <c r="F44">
        <f>Results_from_model!R44</f>
        <v>3.01</v>
      </c>
      <c r="G44">
        <f>Results_from_model!S44</f>
        <v>1.288</v>
      </c>
      <c r="H44">
        <f>Results_from_model!T44</f>
        <v>2.6120000000000001</v>
      </c>
      <c r="I44">
        <f>Results_from_model!U44</f>
        <v>1.3109999999999999</v>
      </c>
      <c r="J44">
        <f>Results_from_model!V44</f>
        <v>4.2</v>
      </c>
      <c r="K44">
        <f>Results_from_model!W44</f>
        <v>1.337</v>
      </c>
      <c r="L44">
        <f>Results_from_model!X44</f>
        <v>3.145</v>
      </c>
      <c r="M44">
        <f>Results_from_model!Y44</f>
        <v>1.284</v>
      </c>
      <c r="Q44" s="20"/>
      <c r="R44" s="20" t="s">
        <v>10</v>
      </c>
      <c r="S44" s="20" t="s">
        <v>11</v>
      </c>
      <c r="AB44" s="18" t="s">
        <v>135</v>
      </c>
    </row>
    <row r="45" spans="1:41" x14ac:dyDescent="0.2">
      <c r="A45" t="s">
        <v>52</v>
      </c>
      <c r="B45">
        <f>Results_from_model!N45</f>
        <v>2.6539999999999999</v>
      </c>
      <c r="C45">
        <f>Results_from_model!O45</f>
        <v>1.399</v>
      </c>
      <c r="D45">
        <f>Results_from_model!P45</f>
        <v>3.9359999999999999</v>
      </c>
      <c r="E45">
        <f>Results_from_model!Q45</f>
        <v>1.4390000000000001</v>
      </c>
      <c r="F45">
        <f>Results_from_model!R45</f>
        <v>3.077</v>
      </c>
      <c r="G45">
        <f>Results_from_model!S45</f>
        <v>1.3879999999999999</v>
      </c>
      <c r="H45">
        <f>Results_from_model!T45</f>
        <v>2.6539999999999999</v>
      </c>
      <c r="I45">
        <f>Results_from_model!U45</f>
        <v>1.399</v>
      </c>
      <c r="J45">
        <f>Results_from_model!V45</f>
        <v>4.3410000000000002</v>
      </c>
      <c r="K45">
        <f>Results_from_model!W45</f>
        <v>1.476</v>
      </c>
      <c r="L45">
        <f>Results_from_model!X45</f>
        <v>3.22</v>
      </c>
      <c r="M45">
        <f>Results_from_model!Y45</f>
        <v>1.389</v>
      </c>
      <c r="O45" s="1" t="s">
        <v>19</v>
      </c>
      <c r="P45" s="1">
        <v>0.8</v>
      </c>
      <c r="Q45" s="20" t="s">
        <v>127</v>
      </c>
      <c r="R45" s="22">
        <f>VLOOKUP($O45,$A:$G,2,FALSE)</f>
        <v>3.746</v>
      </c>
      <c r="S45" s="22">
        <f>VLOOKUP($O45,$A:$G,3,FALSE)</f>
        <v>5.4640000000000004</v>
      </c>
      <c r="U45" s="17"/>
      <c r="V45" s="15"/>
    </row>
    <row r="46" spans="1:41" x14ac:dyDescent="0.2">
      <c r="A46" t="s">
        <v>53</v>
      </c>
      <c r="B46">
        <f>Results_from_model!N46</f>
        <v>2.694</v>
      </c>
      <c r="C46">
        <f>Results_from_model!O46</f>
        <v>1.4870000000000001</v>
      </c>
      <c r="D46">
        <f>Results_from_model!P46</f>
        <v>4.0549999999999997</v>
      </c>
      <c r="E46">
        <f>Results_from_model!Q46</f>
        <v>1.5680000000000001</v>
      </c>
      <c r="F46">
        <f>Results_from_model!R46</f>
        <v>3.1429999999999998</v>
      </c>
      <c r="G46">
        <f>Results_from_model!S46</f>
        <v>1.49</v>
      </c>
      <c r="H46">
        <f>Results_from_model!T46</f>
        <v>2.694</v>
      </c>
      <c r="I46">
        <f>Results_from_model!U46</f>
        <v>1.4870000000000001</v>
      </c>
      <c r="J46">
        <f>Results_from_model!V46</f>
        <v>4.4829999999999997</v>
      </c>
      <c r="K46">
        <f>Results_from_model!W46</f>
        <v>1.6180000000000001</v>
      </c>
      <c r="L46">
        <f>Results_from_model!X46</f>
        <v>3.2949999999999999</v>
      </c>
      <c r="M46">
        <f>Results_from_model!Y46</f>
        <v>1.496</v>
      </c>
      <c r="O46" s="1" t="s">
        <v>19</v>
      </c>
      <c r="P46" s="1">
        <v>1</v>
      </c>
      <c r="Q46" s="20" t="s">
        <v>128</v>
      </c>
      <c r="R46" s="22">
        <f>VLOOKUP($O46,$A:$G,6,FALSE)</f>
        <v>6.1470000000000002</v>
      </c>
      <c r="S46" s="22">
        <f>VLOOKUP($O46,$A:$G,7,FALSE)</f>
        <v>7.8719999999999999</v>
      </c>
      <c r="U46" s="17"/>
      <c r="V46" s="15"/>
    </row>
    <row r="47" spans="1:41" x14ac:dyDescent="0.2">
      <c r="A47" t="s">
        <v>54</v>
      </c>
      <c r="B47">
        <f>Results_from_model!N47</f>
        <v>2.7330000000000001</v>
      </c>
      <c r="C47">
        <f>Results_from_model!O47</f>
        <v>1.575</v>
      </c>
      <c r="D47">
        <f>Results_from_model!P47</f>
        <v>4.17</v>
      </c>
      <c r="E47">
        <f>Results_from_model!Q47</f>
        <v>1.702</v>
      </c>
      <c r="F47">
        <f>Results_from_model!R47</f>
        <v>3.2090000000000001</v>
      </c>
      <c r="G47">
        <f>Results_from_model!S47</f>
        <v>1.593</v>
      </c>
      <c r="H47">
        <f>Results_from_model!T47</f>
        <v>2.7330000000000001</v>
      </c>
      <c r="I47">
        <f>Results_from_model!U47</f>
        <v>1.575</v>
      </c>
      <c r="J47">
        <f>Results_from_model!V47</f>
        <v>4.6210000000000004</v>
      </c>
      <c r="K47">
        <f>Results_from_model!W47</f>
        <v>1.768</v>
      </c>
      <c r="L47">
        <f>Results_from_model!X47</f>
        <v>3.3679999999999999</v>
      </c>
      <c r="M47">
        <f>Results_from_model!Y47</f>
        <v>1.6040000000000001</v>
      </c>
      <c r="O47" s="1" t="s">
        <v>19</v>
      </c>
      <c r="P47" s="1">
        <v>1</v>
      </c>
      <c r="Q47" s="20" t="s">
        <v>138</v>
      </c>
      <c r="R47" s="22">
        <f>VLOOKUP($O47,$A:$G,4,FALSE)</f>
        <v>7.1470000000000002</v>
      </c>
      <c r="S47" s="22">
        <f>VLOOKUP($O47,$A:$G,5,FALSE)</f>
        <v>10.387</v>
      </c>
    </row>
    <row r="48" spans="1:41" ht="15.75" x14ac:dyDescent="0.2">
      <c r="A48" t="s">
        <v>55</v>
      </c>
      <c r="B48">
        <f>Results_from_model!N48</f>
        <v>2.7709999999999999</v>
      </c>
      <c r="C48">
        <f>Results_from_model!O48</f>
        <v>1.6639999999999999</v>
      </c>
      <c r="D48">
        <f>Results_from_model!P48</f>
        <v>4.282</v>
      </c>
      <c r="E48">
        <f>Results_from_model!Q48</f>
        <v>1.841</v>
      </c>
      <c r="F48">
        <f>Results_from_model!R48</f>
        <v>3.2730000000000001</v>
      </c>
      <c r="G48">
        <f>Results_from_model!S48</f>
        <v>1.6970000000000001</v>
      </c>
      <c r="H48">
        <f>Results_from_model!T48</f>
        <v>2.7709999999999999</v>
      </c>
      <c r="I48">
        <f>Results_from_model!U48</f>
        <v>1.6639999999999999</v>
      </c>
      <c r="J48">
        <f>Results_from_model!V48</f>
        <v>4.7539999999999996</v>
      </c>
      <c r="K48">
        <f>Results_from_model!W48</f>
        <v>1.9239999999999999</v>
      </c>
      <c r="L48">
        <f>Results_from_model!X48</f>
        <v>3.4409999999999998</v>
      </c>
      <c r="M48">
        <f>Results_from_model!Y48</f>
        <v>1.714</v>
      </c>
      <c r="R48" s="16"/>
      <c r="AB48" s="9"/>
    </row>
    <row r="49" spans="1:22" x14ac:dyDescent="0.2">
      <c r="A49" t="s">
        <v>56</v>
      </c>
      <c r="B49">
        <f>Results_from_model!N49</f>
        <v>2.8079999999999998</v>
      </c>
      <c r="C49">
        <f>Results_from_model!O49</f>
        <v>1.752</v>
      </c>
      <c r="D49">
        <f>Results_from_model!P49</f>
        <v>4.391</v>
      </c>
      <c r="E49">
        <f>Results_from_model!Q49</f>
        <v>1.9850000000000001</v>
      </c>
      <c r="F49">
        <f>Results_from_model!R49</f>
        <v>3.3359999999999999</v>
      </c>
      <c r="G49">
        <f>Results_from_model!S49</f>
        <v>1.802</v>
      </c>
      <c r="H49">
        <f>Results_from_model!T49</f>
        <v>2.8079999999999998</v>
      </c>
      <c r="I49">
        <f>Results_from_model!U49</f>
        <v>1.752</v>
      </c>
      <c r="J49">
        <f>Results_from_model!V49</f>
        <v>4.8840000000000003</v>
      </c>
      <c r="K49">
        <f>Results_from_model!W49</f>
        <v>2.0859999999999999</v>
      </c>
      <c r="L49">
        <f>Results_from_model!X49</f>
        <v>3.5129999999999999</v>
      </c>
      <c r="M49">
        <f>Results_from_model!Y49</f>
        <v>1.825</v>
      </c>
    </row>
    <row r="50" spans="1:22" x14ac:dyDescent="0.2">
      <c r="A50" t="s">
        <v>57</v>
      </c>
      <c r="B50">
        <f>Results_from_model!N50</f>
        <v>2.843</v>
      </c>
      <c r="C50">
        <f>Results_from_model!O50</f>
        <v>1.84</v>
      </c>
      <c r="D50">
        <f>Results_from_model!P50</f>
        <v>4.4960000000000004</v>
      </c>
      <c r="E50">
        <f>Results_from_model!Q50</f>
        <v>2.133</v>
      </c>
      <c r="F50">
        <f>Results_from_model!R50</f>
        <v>3.399</v>
      </c>
      <c r="G50">
        <f>Results_from_model!S50</f>
        <v>1.909</v>
      </c>
      <c r="H50">
        <f>Results_from_model!T50</f>
        <v>2.843</v>
      </c>
      <c r="I50">
        <f>Results_from_model!U50</f>
        <v>1.84</v>
      </c>
      <c r="J50">
        <f>Results_from_model!V50</f>
        <v>5.0090000000000003</v>
      </c>
      <c r="K50">
        <f>Results_from_model!W50</f>
        <v>2.2530000000000001</v>
      </c>
      <c r="L50">
        <f>Results_from_model!X50</f>
        <v>3.585</v>
      </c>
      <c r="M50">
        <f>Results_from_model!Y50</f>
        <v>1.9379999999999999</v>
      </c>
      <c r="Q50" s="20"/>
      <c r="R50" s="20" t="s">
        <v>10</v>
      </c>
      <c r="S50" s="20" t="s">
        <v>11</v>
      </c>
    </row>
    <row r="51" spans="1:22" x14ac:dyDescent="0.2">
      <c r="A51" t="s">
        <v>58</v>
      </c>
      <c r="B51">
        <f>Results_from_model!N51</f>
        <v>2.8769999999999998</v>
      </c>
      <c r="C51">
        <f>Results_from_model!O51</f>
        <v>1.9279999999999999</v>
      </c>
      <c r="D51">
        <f>Results_from_model!P51</f>
        <v>4.5979999999999999</v>
      </c>
      <c r="E51">
        <f>Results_from_model!Q51</f>
        <v>2.2850000000000001</v>
      </c>
      <c r="F51">
        <f>Results_from_model!R51</f>
        <v>3.4609999999999999</v>
      </c>
      <c r="G51">
        <f>Results_from_model!S51</f>
        <v>2.016</v>
      </c>
      <c r="H51">
        <f>Results_from_model!T51</f>
        <v>2.8769999999999998</v>
      </c>
      <c r="I51">
        <f>Results_from_model!U51</f>
        <v>1.9279999999999999</v>
      </c>
      <c r="J51">
        <f>Results_from_model!V51</f>
        <v>5.13</v>
      </c>
      <c r="K51">
        <f>Results_from_model!W51</f>
        <v>2.4260000000000002</v>
      </c>
      <c r="L51">
        <f>Results_from_model!X51</f>
        <v>3.6549999999999998</v>
      </c>
      <c r="M51">
        <f>Results_from_model!Y51</f>
        <v>2.052</v>
      </c>
      <c r="O51" s="1" t="s">
        <v>19</v>
      </c>
      <c r="P51" s="1">
        <v>0.6</v>
      </c>
      <c r="Q51" s="20" t="s">
        <v>129</v>
      </c>
      <c r="R51" s="22">
        <f>VLOOKUP($O51,$A:$M,8,FALSE)</f>
        <v>3.746</v>
      </c>
      <c r="S51" s="22">
        <f>VLOOKUP($O51,$A:$M,9,FALSE)</f>
        <v>5.4640000000000004</v>
      </c>
    </row>
    <row r="52" spans="1:22" x14ac:dyDescent="0.2">
      <c r="A52" t="s">
        <v>59</v>
      </c>
      <c r="B52">
        <f>Results_from_model!N52</f>
        <v>2.911</v>
      </c>
      <c r="C52">
        <f>Results_from_model!O52</f>
        <v>2.016</v>
      </c>
      <c r="D52">
        <f>Results_from_model!P52</f>
        <v>4.6959999999999997</v>
      </c>
      <c r="E52">
        <f>Results_from_model!Q52</f>
        <v>2.44</v>
      </c>
      <c r="F52">
        <f>Results_from_model!R52</f>
        <v>3.5219999999999998</v>
      </c>
      <c r="G52">
        <f>Results_from_model!S52</f>
        <v>2.1240000000000001</v>
      </c>
      <c r="H52">
        <f>Results_from_model!T52</f>
        <v>2.911</v>
      </c>
      <c r="I52">
        <f>Results_from_model!U52</f>
        <v>2.016</v>
      </c>
      <c r="J52">
        <f>Results_from_model!V52</f>
        <v>5.2469999999999999</v>
      </c>
      <c r="K52">
        <f>Results_from_model!W52</f>
        <v>2.6030000000000002</v>
      </c>
      <c r="L52">
        <f>Results_from_model!X52</f>
        <v>3.7250000000000001</v>
      </c>
      <c r="M52">
        <f>Results_from_model!Y52</f>
        <v>2.1669999999999998</v>
      </c>
      <c r="O52" s="1" t="s">
        <v>19</v>
      </c>
      <c r="P52" s="1">
        <v>0.8</v>
      </c>
      <c r="Q52" s="20" t="s">
        <v>128</v>
      </c>
      <c r="R52" s="22">
        <f>VLOOKUP($O52,$A:$M,12,FALSE)</f>
        <v>6.8760000000000003</v>
      </c>
      <c r="S52" s="22">
        <f>VLOOKUP($O52,$A:$M,13,FALSE)</f>
        <v>8.6530000000000005</v>
      </c>
      <c r="U52" s="17"/>
      <c r="V52" s="15"/>
    </row>
    <row r="53" spans="1:22" x14ac:dyDescent="0.2">
      <c r="A53" t="s">
        <v>60</v>
      </c>
      <c r="B53">
        <f>Results_from_model!N53</f>
        <v>2.9430000000000001</v>
      </c>
      <c r="C53">
        <f>Results_from_model!O53</f>
        <v>2.1040000000000001</v>
      </c>
      <c r="D53">
        <f>Results_from_model!P53</f>
        <v>4.7910000000000004</v>
      </c>
      <c r="E53">
        <f>Results_from_model!Q53</f>
        <v>2.5990000000000002</v>
      </c>
      <c r="F53">
        <f>Results_from_model!R53</f>
        <v>3.5830000000000002</v>
      </c>
      <c r="G53">
        <f>Results_from_model!S53</f>
        <v>2.2330000000000001</v>
      </c>
      <c r="H53">
        <f>Results_from_model!T53</f>
        <v>2.9430000000000001</v>
      </c>
      <c r="I53">
        <f>Results_from_model!U53</f>
        <v>2.1040000000000001</v>
      </c>
      <c r="J53">
        <f>Results_from_model!V53</f>
        <v>5.36</v>
      </c>
      <c r="K53">
        <f>Results_from_model!W53</f>
        <v>2.7839999999999998</v>
      </c>
      <c r="L53">
        <f>Results_from_model!X53</f>
        <v>3.7949999999999999</v>
      </c>
      <c r="M53">
        <f>Results_from_model!Y53</f>
        <v>2.2829999999999999</v>
      </c>
      <c r="O53" s="1" t="s">
        <v>19</v>
      </c>
      <c r="P53" s="1">
        <v>0.8</v>
      </c>
      <c r="Q53" s="20" t="s">
        <v>138</v>
      </c>
      <c r="R53" s="22">
        <f>VLOOKUP($O53,$A:$M,10,FALSE)</f>
        <v>8.1479999999999997</v>
      </c>
      <c r="S53" s="22">
        <f>VLOOKUP($O53,$A:$M,11,FALSE)</f>
        <v>11.916</v>
      </c>
      <c r="U53" s="17"/>
      <c r="V53" s="15"/>
    </row>
    <row r="54" spans="1:22" x14ac:dyDescent="0.2">
      <c r="A54" t="s">
        <v>61</v>
      </c>
      <c r="B54">
        <f>Results_from_model!N54</f>
        <v>2.9740000000000002</v>
      </c>
      <c r="C54">
        <f>Results_from_model!O54</f>
        <v>2.1909999999999998</v>
      </c>
      <c r="D54">
        <f>Results_from_model!P54</f>
        <v>4.8840000000000003</v>
      </c>
      <c r="E54">
        <f>Results_from_model!Q54</f>
        <v>2.76</v>
      </c>
      <c r="F54">
        <f>Results_from_model!R54</f>
        <v>3.6429999999999998</v>
      </c>
      <c r="G54">
        <f>Results_from_model!S54</f>
        <v>2.343</v>
      </c>
      <c r="H54">
        <f>Results_from_model!T54</f>
        <v>2.9740000000000002</v>
      </c>
      <c r="I54">
        <f>Results_from_model!U54</f>
        <v>2.1909999999999998</v>
      </c>
      <c r="J54">
        <f>Results_from_model!V54</f>
        <v>5.47</v>
      </c>
      <c r="K54">
        <f>Results_from_model!W54</f>
        <v>2.9689999999999999</v>
      </c>
      <c r="L54">
        <f>Results_from_model!X54</f>
        <v>3.863</v>
      </c>
      <c r="M54">
        <f>Results_from_model!Y54</f>
        <v>2.4</v>
      </c>
    </row>
    <row r="55" spans="1:22" x14ac:dyDescent="0.2">
      <c r="A55" t="s">
        <v>62</v>
      </c>
      <c r="B55">
        <f>Results_from_model!N55</f>
        <v>3.0049999999999999</v>
      </c>
      <c r="C55">
        <f>Results_from_model!O55</f>
        <v>2.2770000000000001</v>
      </c>
      <c r="D55">
        <f>Results_from_model!P55</f>
        <v>4.9729999999999999</v>
      </c>
      <c r="E55">
        <f>Results_from_model!Q55</f>
        <v>2.923</v>
      </c>
      <c r="F55">
        <f>Results_from_model!R55</f>
        <v>3.702</v>
      </c>
      <c r="G55">
        <f>Results_from_model!S55</f>
        <v>2.4529999999999998</v>
      </c>
      <c r="H55">
        <f>Results_from_model!T55</f>
        <v>3.0049999999999999</v>
      </c>
      <c r="I55">
        <f>Results_from_model!U55</f>
        <v>2.2770000000000001</v>
      </c>
      <c r="J55">
        <f>Results_from_model!V55</f>
        <v>5.5759999999999996</v>
      </c>
      <c r="K55">
        <f>Results_from_model!W55</f>
        <v>3.1560000000000001</v>
      </c>
      <c r="L55">
        <f>Results_from_model!X55</f>
        <v>3.931</v>
      </c>
      <c r="M55">
        <f>Results_from_model!Y55</f>
        <v>2.5179999999999998</v>
      </c>
    </row>
    <row r="56" spans="1:22" x14ac:dyDescent="0.2">
      <c r="A56" t="s">
        <v>63</v>
      </c>
      <c r="B56">
        <f>Results_from_model!N56</f>
        <v>3.0339999999999998</v>
      </c>
      <c r="C56">
        <f>Results_from_model!O56</f>
        <v>2.363</v>
      </c>
      <c r="D56">
        <f>Results_from_model!P56</f>
        <v>5.0590000000000002</v>
      </c>
      <c r="E56">
        <f>Results_from_model!Q56</f>
        <v>3.089</v>
      </c>
      <c r="F56">
        <f>Results_from_model!R56</f>
        <v>3.76</v>
      </c>
      <c r="G56">
        <f>Results_from_model!S56</f>
        <v>2.5630000000000002</v>
      </c>
      <c r="H56">
        <f>Results_from_model!T56</f>
        <v>3.0339999999999998</v>
      </c>
      <c r="I56">
        <f>Results_from_model!U56</f>
        <v>2.363</v>
      </c>
      <c r="J56">
        <f>Results_from_model!V56</f>
        <v>5.6779999999999999</v>
      </c>
      <c r="K56">
        <f>Results_from_model!W56</f>
        <v>3.347</v>
      </c>
      <c r="L56">
        <f>Results_from_model!X56</f>
        <v>3.9990000000000001</v>
      </c>
      <c r="M56">
        <f>Results_from_model!Y56</f>
        <v>2.637</v>
      </c>
      <c r="U56" s="17"/>
      <c r="V56" s="15"/>
    </row>
    <row r="57" spans="1:22" ht="63.75" x14ac:dyDescent="0.2">
      <c r="A57" t="s">
        <v>64</v>
      </c>
      <c r="B57">
        <f>Results_from_model!N57</f>
        <v>3.0619999999999998</v>
      </c>
      <c r="C57">
        <f>Results_from_model!O57</f>
        <v>2.4489999999999998</v>
      </c>
      <c r="D57">
        <f>Results_from_model!P57</f>
        <v>5.1429999999999998</v>
      </c>
      <c r="E57">
        <f>Results_from_model!Q57</f>
        <v>3.2559999999999998</v>
      </c>
      <c r="F57">
        <f>Results_from_model!R57</f>
        <v>3.8180000000000001</v>
      </c>
      <c r="G57">
        <f>Results_from_model!S57</f>
        <v>2.6739999999999999</v>
      </c>
      <c r="H57">
        <f>Results_from_model!T57</f>
        <v>3.0619999999999998</v>
      </c>
      <c r="I57">
        <f>Results_from_model!U57</f>
        <v>2.4489999999999998</v>
      </c>
      <c r="J57">
        <f>Results_from_model!V57</f>
        <v>5.7779999999999996</v>
      </c>
      <c r="K57">
        <f>Results_from_model!W57</f>
        <v>3.5390000000000001</v>
      </c>
      <c r="L57">
        <f>Results_from_model!X57</f>
        <v>4.0659999999999998</v>
      </c>
      <c r="M57">
        <f>Results_from_model!Y57</f>
        <v>2.7570000000000001</v>
      </c>
      <c r="Q57" s="19" t="s">
        <v>10</v>
      </c>
      <c r="R57" s="19" t="s">
        <v>130</v>
      </c>
      <c r="S57" s="19" t="s">
        <v>131</v>
      </c>
      <c r="U57" s="17"/>
      <c r="V57" s="15"/>
    </row>
    <row r="58" spans="1:22" x14ac:dyDescent="0.2">
      <c r="A58" t="s">
        <v>65</v>
      </c>
      <c r="B58">
        <f>Results_from_model!N58</f>
        <v>3.09</v>
      </c>
      <c r="C58">
        <f>Results_from_model!O58</f>
        <v>2.5339999999999998</v>
      </c>
      <c r="D58">
        <f>Results_from_model!P58</f>
        <v>5.2240000000000002</v>
      </c>
      <c r="E58">
        <f>Results_from_model!Q58</f>
        <v>3.4249999999999998</v>
      </c>
      <c r="F58">
        <f>Results_from_model!R58</f>
        <v>3.875</v>
      </c>
      <c r="G58">
        <f>Results_from_model!S58</f>
        <v>2.786</v>
      </c>
      <c r="H58">
        <f>Results_from_model!T58</f>
        <v>3.09</v>
      </c>
      <c r="I58">
        <f>Results_from_model!U58</f>
        <v>2.5339999999999998</v>
      </c>
      <c r="J58">
        <f>Results_from_model!V58</f>
        <v>5.8739999999999997</v>
      </c>
      <c r="K58">
        <f>Results_from_model!W58</f>
        <v>3.734</v>
      </c>
      <c r="L58">
        <f>Results_from_model!X58</f>
        <v>4.1319999999999997</v>
      </c>
      <c r="M58">
        <f>Results_from_model!Y58</f>
        <v>2.8769999999999998</v>
      </c>
      <c r="Q58" s="20" t="s">
        <v>132</v>
      </c>
      <c r="R58" s="21">
        <f>R46-R45</f>
        <v>2.4010000000000002</v>
      </c>
      <c r="S58" s="21">
        <f>R52-R51</f>
        <v>3.1300000000000003</v>
      </c>
    </row>
    <row r="59" spans="1:22" x14ac:dyDescent="0.2">
      <c r="A59" t="s">
        <v>66</v>
      </c>
      <c r="B59">
        <f>Results_from_model!N59</f>
        <v>3.1160000000000001</v>
      </c>
      <c r="C59">
        <f>Results_from_model!O59</f>
        <v>2.6179999999999999</v>
      </c>
      <c r="D59">
        <f>Results_from_model!P59</f>
        <v>5.3019999999999996</v>
      </c>
      <c r="E59">
        <f>Results_from_model!Q59</f>
        <v>3.5939999999999999</v>
      </c>
      <c r="F59">
        <f>Results_from_model!R59</f>
        <v>3.931</v>
      </c>
      <c r="G59">
        <f>Results_from_model!S59</f>
        <v>2.8969999999999998</v>
      </c>
      <c r="H59">
        <f>Results_from_model!T59</f>
        <v>3.1160000000000001</v>
      </c>
      <c r="I59">
        <f>Results_from_model!U59</f>
        <v>2.6179999999999999</v>
      </c>
      <c r="J59">
        <f>Results_from_model!V59</f>
        <v>5.9669999999999996</v>
      </c>
      <c r="K59">
        <f>Results_from_model!W59</f>
        <v>3.93</v>
      </c>
      <c r="L59">
        <f>Results_from_model!X59</f>
        <v>4.1980000000000004</v>
      </c>
      <c r="M59">
        <f>Results_from_model!Y59</f>
        <v>2.9980000000000002</v>
      </c>
      <c r="Q59" s="20" t="s">
        <v>133</v>
      </c>
      <c r="R59" s="21">
        <f>R47-R45</f>
        <v>3.4010000000000002</v>
      </c>
      <c r="S59" s="21">
        <f>R53-R51</f>
        <v>4.4019999999999992</v>
      </c>
    </row>
    <row r="60" spans="1:22" x14ac:dyDescent="0.2">
      <c r="A60" t="s">
        <v>67</v>
      </c>
      <c r="B60">
        <f>Results_from_model!N60</f>
        <v>3.1419999999999999</v>
      </c>
      <c r="C60">
        <f>Results_from_model!O60</f>
        <v>2.702</v>
      </c>
      <c r="D60">
        <f>Results_from_model!P60</f>
        <v>5.3780000000000001</v>
      </c>
      <c r="E60">
        <f>Results_from_model!Q60</f>
        <v>3.7650000000000001</v>
      </c>
      <c r="F60">
        <f>Results_from_model!R60</f>
        <v>3.9870000000000001</v>
      </c>
      <c r="G60">
        <f>Results_from_model!S60</f>
        <v>3.0089999999999999</v>
      </c>
      <c r="H60">
        <f>Results_from_model!T60</f>
        <v>3.1419999999999999</v>
      </c>
      <c r="I60">
        <f>Results_from_model!U60</f>
        <v>2.702</v>
      </c>
      <c r="J60">
        <f>Results_from_model!V60</f>
        <v>6.0570000000000004</v>
      </c>
      <c r="K60">
        <f>Results_from_model!W60</f>
        <v>4.1280000000000001</v>
      </c>
      <c r="L60">
        <f>Results_from_model!X60</f>
        <v>4.2629999999999999</v>
      </c>
      <c r="M60">
        <f>Results_from_model!Y60</f>
        <v>3.12</v>
      </c>
    </row>
    <row r="61" spans="1:22" x14ac:dyDescent="0.2">
      <c r="A61" t="s">
        <v>68</v>
      </c>
      <c r="B61">
        <f>Results_from_model!N61</f>
        <v>3.1669999999999998</v>
      </c>
      <c r="C61">
        <f>Results_from_model!O61</f>
        <v>2.7839999999999998</v>
      </c>
      <c r="D61">
        <f>Results_from_model!P61</f>
        <v>5.452</v>
      </c>
      <c r="E61">
        <f>Results_from_model!Q61</f>
        <v>3.9359999999999999</v>
      </c>
      <c r="F61">
        <f>Results_from_model!R61</f>
        <v>4.0430000000000001</v>
      </c>
      <c r="G61">
        <f>Results_from_model!S61</f>
        <v>3.121</v>
      </c>
      <c r="H61">
        <f>Results_from_model!T61</f>
        <v>3.1669999999999998</v>
      </c>
      <c r="I61">
        <f>Results_from_model!U61</f>
        <v>2.7839999999999998</v>
      </c>
      <c r="J61">
        <f>Results_from_model!V61</f>
        <v>6.1440000000000001</v>
      </c>
      <c r="K61">
        <f>Results_from_model!W61</f>
        <v>4.3259999999999996</v>
      </c>
      <c r="L61">
        <f>Results_from_model!X61</f>
        <v>4.3280000000000003</v>
      </c>
      <c r="M61">
        <f>Results_from_model!Y61</f>
        <v>3.242</v>
      </c>
    </row>
    <row r="62" spans="1:22" ht="63.75" x14ac:dyDescent="0.2">
      <c r="A62" t="s">
        <v>69</v>
      </c>
      <c r="B62">
        <f>Results_from_model!N62</f>
        <v>3.1909999999999998</v>
      </c>
      <c r="C62">
        <f>Results_from_model!O62</f>
        <v>2.8660000000000001</v>
      </c>
      <c r="D62">
        <f>Results_from_model!P62</f>
        <v>5.5229999999999997</v>
      </c>
      <c r="E62">
        <f>Results_from_model!Q62</f>
        <v>4.1079999999999997</v>
      </c>
      <c r="F62">
        <f>Results_from_model!R62</f>
        <v>4.0970000000000004</v>
      </c>
      <c r="G62">
        <f>Results_from_model!S62</f>
        <v>3.234</v>
      </c>
      <c r="H62">
        <f>Results_from_model!T62</f>
        <v>3.1909999999999998</v>
      </c>
      <c r="I62">
        <f>Results_from_model!U62</f>
        <v>2.8660000000000001</v>
      </c>
      <c r="J62">
        <f>Results_from_model!V62</f>
        <v>6.2279999999999998</v>
      </c>
      <c r="K62">
        <f>Results_from_model!W62</f>
        <v>4.5259999999999998</v>
      </c>
      <c r="L62">
        <f>Results_from_model!X62</f>
        <v>4.3920000000000003</v>
      </c>
      <c r="M62">
        <f>Results_from_model!Y62</f>
        <v>3.3639999999999999</v>
      </c>
      <c r="Q62" s="19" t="s">
        <v>11</v>
      </c>
      <c r="R62" s="19" t="s">
        <v>130</v>
      </c>
      <c r="S62" s="19" t="s">
        <v>131</v>
      </c>
    </row>
    <row r="63" spans="1:22" x14ac:dyDescent="0.2">
      <c r="A63" t="s">
        <v>70</v>
      </c>
      <c r="B63">
        <f>Results_from_model!N63</f>
        <v>3.2149999999999999</v>
      </c>
      <c r="C63">
        <f>Results_from_model!O63</f>
        <v>2.9470000000000001</v>
      </c>
      <c r="D63">
        <f>Results_from_model!P63</f>
        <v>5.5919999999999996</v>
      </c>
      <c r="E63">
        <f>Results_from_model!Q63</f>
        <v>4.28</v>
      </c>
      <c r="F63">
        <f>Results_from_model!R63</f>
        <v>4.1520000000000001</v>
      </c>
      <c r="G63">
        <f>Results_from_model!S63</f>
        <v>3.3460000000000001</v>
      </c>
      <c r="H63">
        <f>Results_from_model!T63</f>
        <v>3.2149999999999999</v>
      </c>
      <c r="I63">
        <f>Results_from_model!U63</f>
        <v>2.9470000000000001</v>
      </c>
      <c r="J63">
        <f>Results_from_model!V63</f>
        <v>6.31</v>
      </c>
      <c r="K63">
        <f>Results_from_model!W63</f>
        <v>4.726</v>
      </c>
      <c r="L63">
        <f>Results_from_model!X63</f>
        <v>4.4560000000000004</v>
      </c>
      <c r="M63">
        <f>Results_from_model!Y63</f>
        <v>3.4870000000000001</v>
      </c>
      <c r="Q63" s="20" t="s">
        <v>132</v>
      </c>
      <c r="R63" s="21">
        <f>S46-S45</f>
        <v>2.4079999999999995</v>
      </c>
      <c r="S63" s="21">
        <f>S52-S51</f>
        <v>3.1890000000000001</v>
      </c>
    </row>
    <row r="64" spans="1:22" x14ac:dyDescent="0.2">
      <c r="A64" t="s">
        <v>71</v>
      </c>
      <c r="B64">
        <f>Results_from_model!N64</f>
        <v>3.238</v>
      </c>
      <c r="C64">
        <f>Results_from_model!O64</f>
        <v>3.028</v>
      </c>
      <c r="D64">
        <f>Results_from_model!P64</f>
        <v>5.6580000000000004</v>
      </c>
      <c r="E64">
        <f>Results_from_model!Q64</f>
        <v>4.452</v>
      </c>
      <c r="F64">
        <f>Results_from_model!R64</f>
        <v>4.2050000000000001</v>
      </c>
      <c r="G64">
        <f>Results_from_model!S64</f>
        <v>3.4590000000000001</v>
      </c>
      <c r="H64">
        <f>Results_from_model!T64</f>
        <v>3.238</v>
      </c>
      <c r="I64">
        <f>Results_from_model!U64</f>
        <v>3.028</v>
      </c>
      <c r="J64">
        <f>Results_from_model!V64</f>
        <v>6.3890000000000002</v>
      </c>
      <c r="K64">
        <f>Results_from_model!W64</f>
        <v>4.9260000000000002</v>
      </c>
      <c r="L64">
        <f>Results_from_model!X64</f>
        <v>4.5190000000000001</v>
      </c>
      <c r="M64">
        <f>Results_from_model!Y64</f>
        <v>3.61</v>
      </c>
      <c r="Q64" s="20" t="s">
        <v>133</v>
      </c>
      <c r="R64" s="21">
        <f>S47-S45</f>
        <v>4.923</v>
      </c>
      <c r="S64" s="21">
        <f>S53-S51</f>
        <v>6.452</v>
      </c>
    </row>
    <row r="65" spans="1:13" x14ac:dyDescent="0.2">
      <c r="A65" t="s">
        <v>17</v>
      </c>
      <c r="B65">
        <f>Results_from_model!N65</f>
        <v>3.26</v>
      </c>
      <c r="C65">
        <f>Results_from_model!O65</f>
        <v>3.1070000000000002</v>
      </c>
      <c r="D65">
        <f>Results_from_model!P65</f>
        <v>5.7229999999999999</v>
      </c>
      <c r="E65">
        <f>Results_from_model!Q65</f>
        <v>4.6239999999999997</v>
      </c>
      <c r="F65">
        <f>Results_from_model!R65</f>
        <v>4.2590000000000003</v>
      </c>
      <c r="G65">
        <f>Results_from_model!S65</f>
        <v>3.5710000000000002</v>
      </c>
      <c r="H65">
        <f>Results_from_model!T65</f>
        <v>3.26</v>
      </c>
      <c r="I65">
        <f>Results_from_model!U65</f>
        <v>3.1070000000000002</v>
      </c>
      <c r="J65">
        <f>Results_from_model!V65</f>
        <v>6.4649999999999999</v>
      </c>
      <c r="K65">
        <f>Results_from_model!W65</f>
        <v>5.1260000000000003</v>
      </c>
      <c r="L65">
        <f>Results_from_model!X65</f>
        <v>4.5819999999999999</v>
      </c>
      <c r="M65">
        <f>Results_from_model!Y65</f>
        <v>3.734</v>
      </c>
    </row>
    <row r="66" spans="1:13" x14ac:dyDescent="0.2">
      <c r="A66" t="s">
        <v>72</v>
      </c>
      <c r="B66">
        <f>Results_from_model!N66</f>
        <v>3.2810000000000001</v>
      </c>
      <c r="C66">
        <f>Results_from_model!O66</f>
        <v>3.1859999999999999</v>
      </c>
      <c r="D66">
        <f>Results_from_model!P66</f>
        <v>5.7859999999999996</v>
      </c>
      <c r="E66">
        <f>Results_from_model!Q66</f>
        <v>4.7960000000000003</v>
      </c>
      <c r="F66">
        <f>Results_from_model!R66</f>
        <v>4.3109999999999999</v>
      </c>
      <c r="G66">
        <f>Results_from_model!S66</f>
        <v>3.6840000000000002</v>
      </c>
      <c r="H66">
        <f>Results_from_model!T66</f>
        <v>3.2810000000000001</v>
      </c>
      <c r="I66">
        <f>Results_from_model!U66</f>
        <v>3.1859999999999999</v>
      </c>
      <c r="J66">
        <f>Results_from_model!V66</f>
        <v>6.5389999999999997</v>
      </c>
      <c r="K66">
        <f>Results_from_model!W66</f>
        <v>5.3259999999999996</v>
      </c>
      <c r="L66">
        <f>Results_from_model!X66</f>
        <v>4.6440000000000001</v>
      </c>
      <c r="M66">
        <f>Results_from_model!Y66</f>
        <v>3.8580000000000001</v>
      </c>
    </row>
    <row r="67" spans="1:13" x14ac:dyDescent="0.2">
      <c r="A67" t="s">
        <v>73</v>
      </c>
      <c r="B67">
        <f>Results_from_model!N67</f>
        <v>3.302</v>
      </c>
      <c r="C67">
        <f>Results_from_model!O67</f>
        <v>3.2629999999999999</v>
      </c>
      <c r="D67">
        <f>Results_from_model!P67</f>
        <v>5.8460000000000001</v>
      </c>
      <c r="E67">
        <f>Results_from_model!Q67</f>
        <v>4.9669999999999996</v>
      </c>
      <c r="F67">
        <f>Results_from_model!R67</f>
        <v>4.3630000000000004</v>
      </c>
      <c r="G67">
        <f>Results_from_model!S67</f>
        <v>3.7970000000000002</v>
      </c>
      <c r="H67">
        <f>Results_from_model!T67</f>
        <v>3.302</v>
      </c>
      <c r="I67">
        <f>Results_from_model!U67</f>
        <v>3.2629999999999999</v>
      </c>
      <c r="J67">
        <f>Results_from_model!V67</f>
        <v>6.6109999999999998</v>
      </c>
      <c r="K67">
        <f>Results_from_model!W67</f>
        <v>5.5259999999999998</v>
      </c>
      <c r="L67">
        <f>Results_from_model!X67</f>
        <v>4.7060000000000004</v>
      </c>
      <c r="M67">
        <f>Results_from_model!Y67</f>
        <v>3.9820000000000002</v>
      </c>
    </row>
    <row r="68" spans="1:13" x14ac:dyDescent="0.2">
      <c r="A68" t="s">
        <v>74</v>
      </c>
      <c r="B68">
        <f>Results_from_model!N68</f>
        <v>3.3220000000000001</v>
      </c>
      <c r="C68">
        <f>Results_from_model!O68</f>
        <v>3.34</v>
      </c>
      <c r="D68">
        <f>Results_from_model!P68</f>
        <v>5.9050000000000002</v>
      </c>
      <c r="E68">
        <f>Results_from_model!Q68</f>
        <v>5.1379999999999999</v>
      </c>
      <c r="F68">
        <f>Results_from_model!R68</f>
        <v>4.415</v>
      </c>
      <c r="G68">
        <f>Results_from_model!S68</f>
        <v>3.9089999999999998</v>
      </c>
      <c r="H68">
        <f>Results_from_model!T68</f>
        <v>3.3220000000000001</v>
      </c>
      <c r="I68">
        <f>Results_from_model!U68</f>
        <v>3.34</v>
      </c>
      <c r="J68">
        <f>Results_from_model!V68</f>
        <v>6.68</v>
      </c>
      <c r="K68">
        <f>Results_from_model!W68</f>
        <v>5.726</v>
      </c>
      <c r="L68">
        <f>Results_from_model!X68</f>
        <v>4.7670000000000003</v>
      </c>
      <c r="M68">
        <f>Results_from_model!Y68</f>
        <v>4.1059999999999999</v>
      </c>
    </row>
    <row r="69" spans="1:13" x14ac:dyDescent="0.2">
      <c r="A69" t="s">
        <v>75</v>
      </c>
      <c r="B69">
        <f>Results_from_model!N69</f>
        <v>3.3410000000000002</v>
      </c>
      <c r="C69">
        <f>Results_from_model!O69</f>
        <v>3.415</v>
      </c>
      <c r="D69">
        <f>Results_from_model!P69</f>
        <v>5.9610000000000003</v>
      </c>
      <c r="E69">
        <f>Results_from_model!Q69</f>
        <v>5.3079999999999998</v>
      </c>
      <c r="F69">
        <f>Results_from_model!R69</f>
        <v>4.4669999999999996</v>
      </c>
      <c r="G69">
        <f>Results_from_model!S69</f>
        <v>4.0209999999999999</v>
      </c>
      <c r="H69">
        <f>Results_from_model!T69</f>
        <v>3.3410000000000002</v>
      </c>
      <c r="I69">
        <f>Results_from_model!U69</f>
        <v>3.415</v>
      </c>
      <c r="J69">
        <f>Results_from_model!V69</f>
        <v>6.7480000000000002</v>
      </c>
      <c r="K69">
        <f>Results_from_model!W69</f>
        <v>5.9240000000000004</v>
      </c>
      <c r="L69">
        <f>Results_from_model!X69</f>
        <v>4.8280000000000003</v>
      </c>
      <c r="M69">
        <f>Results_from_model!Y69</f>
        <v>4.2300000000000004</v>
      </c>
    </row>
    <row r="70" spans="1:13" x14ac:dyDescent="0.2">
      <c r="A70" t="s">
        <v>76</v>
      </c>
      <c r="B70">
        <f>Results_from_model!N70</f>
        <v>3.36</v>
      </c>
      <c r="C70">
        <f>Results_from_model!O70</f>
        <v>3.49</v>
      </c>
      <c r="D70">
        <f>Results_from_model!P70</f>
        <v>6.016</v>
      </c>
      <c r="E70">
        <f>Results_from_model!Q70</f>
        <v>5.4770000000000003</v>
      </c>
      <c r="F70">
        <f>Results_from_model!R70</f>
        <v>4.5170000000000003</v>
      </c>
      <c r="G70">
        <f>Results_from_model!S70</f>
        <v>4.1340000000000003</v>
      </c>
      <c r="H70">
        <f>Results_from_model!T70</f>
        <v>3.36</v>
      </c>
      <c r="I70">
        <f>Results_from_model!U70</f>
        <v>3.49</v>
      </c>
      <c r="J70">
        <f>Results_from_model!V70</f>
        <v>6.8129999999999997</v>
      </c>
      <c r="K70">
        <f>Results_from_model!W70</f>
        <v>6.1219999999999999</v>
      </c>
      <c r="L70">
        <f>Results_from_model!X70</f>
        <v>4.8890000000000002</v>
      </c>
      <c r="M70">
        <f>Results_from_model!Y70</f>
        <v>4.3550000000000004</v>
      </c>
    </row>
    <row r="71" spans="1:13" x14ac:dyDescent="0.2">
      <c r="A71" t="s">
        <v>77</v>
      </c>
      <c r="B71">
        <f>Results_from_model!N71</f>
        <v>3.3780000000000001</v>
      </c>
      <c r="C71">
        <f>Results_from_model!O71</f>
        <v>3.5640000000000001</v>
      </c>
      <c r="D71">
        <f>Results_from_model!P71</f>
        <v>6.07</v>
      </c>
      <c r="E71">
        <f>Results_from_model!Q71</f>
        <v>5.6449999999999996</v>
      </c>
      <c r="F71">
        <f>Results_from_model!R71</f>
        <v>4.5679999999999996</v>
      </c>
      <c r="G71">
        <f>Results_from_model!S71</f>
        <v>4.2460000000000004</v>
      </c>
      <c r="H71">
        <f>Results_from_model!T71</f>
        <v>3.3780000000000001</v>
      </c>
      <c r="I71">
        <f>Results_from_model!U71</f>
        <v>3.5640000000000001</v>
      </c>
      <c r="J71">
        <f>Results_from_model!V71</f>
        <v>6.875</v>
      </c>
      <c r="K71">
        <f>Results_from_model!W71</f>
        <v>6.319</v>
      </c>
      <c r="L71">
        <f>Results_from_model!X71</f>
        <v>4.9489999999999998</v>
      </c>
      <c r="M71">
        <f>Results_from_model!Y71</f>
        <v>4.4800000000000004</v>
      </c>
    </row>
    <row r="72" spans="1:13" x14ac:dyDescent="0.2">
      <c r="A72" t="s">
        <v>78</v>
      </c>
      <c r="B72">
        <f>Results_from_model!N72</f>
        <v>3.395</v>
      </c>
      <c r="C72">
        <f>Results_from_model!O72</f>
        <v>3.6360000000000001</v>
      </c>
      <c r="D72">
        <f>Results_from_model!P72</f>
        <v>6.1210000000000004</v>
      </c>
      <c r="E72">
        <f>Results_from_model!Q72</f>
        <v>5.8129999999999997</v>
      </c>
      <c r="F72">
        <f>Results_from_model!R72</f>
        <v>4.6180000000000003</v>
      </c>
      <c r="G72">
        <f>Results_from_model!S72</f>
        <v>4.3579999999999997</v>
      </c>
      <c r="H72">
        <f>Results_from_model!T72</f>
        <v>3.395</v>
      </c>
      <c r="I72">
        <f>Results_from_model!U72</f>
        <v>3.6360000000000001</v>
      </c>
      <c r="J72">
        <f>Results_from_model!V72</f>
        <v>6.9359999999999999</v>
      </c>
      <c r="K72">
        <f>Results_from_model!W72</f>
        <v>6.5149999999999997</v>
      </c>
      <c r="L72">
        <f>Results_from_model!X72</f>
        <v>5.0090000000000003</v>
      </c>
      <c r="M72">
        <f>Results_from_model!Y72</f>
        <v>4.6040000000000001</v>
      </c>
    </row>
    <row r="73" spans="1:13" x14ac:dyDescent="0.2">
      <c r="A73" t="s">
        <v>79</v>
      </c>
      <c r="B73">
        <f>Results_from_model!N73</f>
        <v>3.4119999999999999</v>
      </c>
      <c r="C73">
        <f>Results_from_model!O73</f>
        <v>3.7080000000000002</v>
      </c>
      <c r="D73">
        <f>Results_from_model!P73</f>
        <v>6.1710000000000003</v>
      </c>
      <c r="E73">
        <f>Results_from_model!Q73</f>
        <v>5.9790000000000001</v>
      </c>
      <c r="F73">
        <f>Results_from_model!R73</f>
        <v>4.6680000000000001</v>
      </c>
      <c r="G73">
        <f>Results_from_model!S73</f>
        <v>4.4690000000000003</v>
      </c>
      <c r="H73">
        <f>Results_from_model!T73</f>
        <v>3.4119999999999999</v>
      </c>
      <c r="I73">
        <f>Results_from_model!U73</f>
        <v>3.7080000000000002</v>
      </c>
      <c r="J73">
        <f>Results_from_model!V73</f>
        <v>6.9950000000000001</v>
      </c>
      <c r="K73">
        <f>Results_from_model!W73</f>
        <v>6.71</v>
      </c>
      <c r="L73">
        <f>Results_from_model!X73</f>
        <v>5.0679999999999996</v>
      </c>
      <c r="M73">
        <f>Results_from_model!Y73</f>
        <v>4.7290000000000001</v>
      </c>
    </row>
    <row r="74" spans="1:13" x14ac:dyDescent="0.2">
      <c r="A74" t="s">
        <v>80</v>
      </c>
      <c r="B74">
        <f>Results_from_model!N74</f>
        <v>3.4289999999999998</v>
      </c>
      <c r="C74">
        <f>Results_from_model!O74</f>
        <v>3.7789999999999999</v>
      </c>
      <c r="D74">
        <f>Results_from_model!P74</f>
        <v>6.2190000000000003</v>
      </c>
      <c r="E74">
        <f>Results_from_model!Q74</f>
        <v>6.1440000000000001</v>
      </c>
      <c r="F74">
        <f>Results_from_model!R74</f>
        <v>4.7169999999999996</v>
      </c>
      <c r="G74">
        <f>Results_from_model!S74</f>
        <v>4.5810000000000004</v>
      </c>
      <c r="H74">
        <f>Results_from_model!T74</f>
        <v>3.4289999999999998</v>
      </c>
      <c r="I74">
        <f>Results_from_model!U74</f>
        <v>3.7789999999999999</v>
      </c>
      <c r="J74">
        <f>Results_from_model!V74</f>
        <v>7.0519999999999996</v>
      </c>
      <c r="K74">
        <f>Results_from_model!W74</f>
        <v>6.9029999999999996</v>
      </c>
      <c r="L74">
        <f>Results_from_model!X74</f>
        <v>5.1269999999999998</v>
      </c>
      <c r="M74">
        <f>Results_from_model!Y74</f>
        <v>4.8540000000000001</v>
      </c>
    </row>
    <row r="75" spans="1:13" x14ac:dyDescent="0.2">
      <c r="A75" t="s">
        <v>81</v>
      </c>
      <c r="B75">
        <f>Results_from_model!N75</f>
        <v>3.4449999999999998</v>
      </c>
      <c r="C75">
        <f>Results_from_model!O75</f>
        <v>3.8479999999999999</v>
      </c>
      <c r="D75">
        <f>Results_from_model!P75</f>
        <v>6.266</v>
      </c>
      <c r="E75">
        <f>Results_from_model!Q75</f>
        <v>6.3070000000000004</v>
      </c>
      <c r="F75">
        <f>Results_from_model!R75</f>
        <v>4.766</v>
      </c>
      <c r="G75">
        <f>Results_from_model!S75</f>
        <v>4.6920000000000002</v>
      </c>
      <c r="H75">
        <f>Results_from_model!T75</f>
        <v>3.4449999999999998</v>
      </c>
      <c r="I75">
        <f>Results_from_model!U75</f>
        <v>3.8479999999999999</v>
      </c>
      <c r="J75">
        <f>Results_from_model!V75</f>
        <v>7.1079999999999997</v>
      </c>
      <c r="K75">
        <f>Results_from_model!W75</f>
        <v>7.0949999999999998</v>
      </c>
      <c r="L75">
        <f>Results_from_model!X75</f>
        <v>5.1859999999999999</v>
      </c>
      <c r="M75">
        <f>Results_from_model!Y75</f>
        <v>4.9790000000000001</v>
      </c>
    </row>
    <row r="76" spans="1:13" x14ac:dyDescent="0.2">
      <c r="A76" t="s">
        <v>82</v>
      </c>
      <c r="B76">
        <f>Results_from_model!N76</f>
        <v>3.46</v>
      </c>
      <c r="C76">
        <f>Results_from_model!O76</f>
        <v>3.9169999999999998</v>
      </c>
      <c r="D76">
        <f>Results_from_model!P76</f>
        <v>6.3109999999999999</v>
      </c>
      <c r="E76">
        <f>Results_from_model!Q76</f>
        <v>6.4690000000000003</v>
      </c>
      <c r="F76">
        <f>Results_from_model!R76</f>
        <v>4.8150000000000004</v>
      </c>
      <c r="G76">
        <f>Results_from_model!S76</f>
        <v>4.8029999999999999</v>
      </c>
      <c r="H76">
        <f>Results_from_model!T76</f>
        <v>3.46</v>
      </c>
      <c r="I76">
        <f>Results_from_model!U76</f>
        <v>3.9169999999999998</v>
      </c>
      <c r="J76">
        <f>Results_from_model!V76</f>
        <v>7.1609999999999996</v>
      </c>
      <c r="K76">
        <f>Results_from_model!W76</f>
        <v>7.2859999999999996</v>
      </c>
      <c r="L76">
        <f>Results_from_model!X76</f>
        <v>5.2450000000000001</v>
      </c>
      <c r="M76">
        <f>Results_from_model!Y76</f>
        <v>5.1040000000000001</v>
      </c>
    </row>
    <row r="77" spans="1:13" x14ac:dyDescent="0.2">
      <c r="A77" t="s">
        <v>83</v>
      </c>
      <c r="B77">
        <f>Results_from_model!N77</f>
        <v>3.4750000000000001</v>
      </c>
      <c r="C77">
        <f>Results_from_model!O77</f>
        <v>3.984</v>
      </c>
      <c r="D77">
        <f>Results_from_model!P77</f>
        <v>6.3550000000000004</v>
      </c>
      <c r="E77">
        <f>Results_from_model!Q77</f>
        <v>6.63</v>
      </c>
      <c r="F77">
        <f>Results_from_model!R77</f>
        <v>4.8630000000000004</v>
      </c>
      <c r="G77">
        <f>Results_from_model!S77</f>
        <v>4.9139999999999997</v>
      </c>
      <c r="H77">
        <f>Results_from_model!T77</f>
        <v>3.4750000000000001</v>
      </c>
      <c r="I77">
        <f>Results_from_model!U77</f>
        <v>3.984</v>
      </c>
      <c r="J77">
        <f>Results_from_model!V77</f>
        <v>7.2130000000000001</v>
      </c>
      <c r="K77">
        <f>Results_from_model!W77</f>
        <v>7.4740000000000002</v>
      </c>
      <c r="L77">
        <f>Results_from_model!X77</f>
        <v>5.3029999999999999</v>
      </c>
      <c r="M77">
        <f>Results_from_model!Y77</f>
        <v>5.2290000000000001</v>
      </c>
    </row>
    <row r="78" spans="1:13" x14ac:dyDescent="0.2">
      <c r="A78" t="s">
        <v>84</v>
      </c>
      <c r="B78">
        <f>Results_from_model!N78</f>
        <v>3.49</v>
      </c>
      <c r="C78">
        <f>Results_from_model!O78</f>
        <v>4.0510000000000002</v>
      </c>
      <c r="D78">
        <f>Results_from_model!P78</f>
        <v>6.3970000000000002</v>
      </c>
      <c r="E78">
        <f>Results_from_model!Q78</f>
        <v>6.7889999999999997</v>
      </c>
      <c r="F78">
        <f>Results_from_model!R78</f>
        <v>4.9109999999999996</v>
      </c>
      <c r="G78">
        <f>Results_from_model!S78</f>
        <v>5.0250000000000004</v>
      </c>
      <c r="H78">
        <f>Results_from_model!T78</f>
        <v>3.49</v>
      </c>
      <c r="I78">
        <f>Results_from_model!U78</f>
        <v>4.0510000000000002</v>
      </c>
      <c r="J78">
        <f>Results_from_model!V78</f>
        <v>7.2629999999999999</v>
      </c>
      <c r="K78">
        <f>Results_from_model!W78</f>
        <v>7.6619999999999999</v>
      </c>
      <c r="L78">
        <f>Results_from_model!X78</f>
        <v>5.3609999999999998</v>
      </c>
      <c r="M78">
        <f>Results_from_model!Y78</f>
        <v>5.3529999999999998</v>
      </c>
    </row>
    <row r="79" spans="1:13" x14ac:dyDescent="0.2">
      <c r="A79" t="s">
        <v>85</v>
      </c>
      <c r="B79">
        <f>Results_from_model!N79</f>
        <v>3.504</v>
      </c>
      <c r="C79">
        <f>Results_from_model!O79</f>
        <v>4.1159999999999997</v>
      </c>
      <c r="D79">
        <f>Results_from_model!P79</f>
        <v>6.4379999999999997</v>
      </c>
      <c r="E79">
        <f>Results_from_model!Q79</f>
        <v>6.9470000000000001</v>
      </c>
      <c r="F79">
        <f>Results_from_model!R79</f>
        <v>4.9589999999999996</v>
      </c>
      <c r="G79">
        <f>Results_from_model!S79</f>
        <v>5.1349999999999998</v>
      </c>
      <c r="H79">
        <f>Results_from_model!T79</f>
        <v>3.504</v>
      </c>
      <c r="I79">
        <f>Results_from_model!U79</f>
        <v>4.1159999999999997</v>
      </c>
      <c r="J79">
        <f>Results_from_model!V79</f>
        <v>7.3109999999999999</v>
      </c>
      <c r="K79">
        <f>Results_from_model!W79</f>
        <v>7.8470000000000004</v>
      </c>
      <c r="L79">
        <f>Results_from_model!X79</f>
        <v>5.4180000000000001</v>
      </c>
      <c r="M79">
        <f>Results_from_model!Y79</f>
        <v>5.4779999999999998</v>
      </c>
    </row>
    <row r="80" spans="1:13" x14ac:dyDescent="0.2">
      <c r="A80" t="s">
        <v>86</v>
      </c>
      <c r="B80">
        <f>Results_from_model!N80</f>
        <v>3.5169999999999999</v>
      </c>
      <c r="C80">
        <f>Results_from_model!O80</f>
        <v>4.18</v>
      </c>
      <c r="D80">
        <f>Results_from_model!P80</f>
        <v>6.4779999999999998</v>
      </c>
      <c r="E80">
        <f>Results_from_model!Q80</f>
        <v>7.1029999999999998</v>
      </c>
      <c r="F80">
        <f>Results_from_model!R80</f>
        <v>5.0060000000000002</v>
      </c>
      <c r="G80">
        <f>Results_from_model!S80</f>
        <v>5.2450000000000001</v>
      </c>
      <c r="H80">
        <f>Results_from_model!T80</f>
        <v>3.5169999999999999</v>
      </c>
      <c r="I80">
        <f>Results_from_model!U80</f>
        <v>4.18</v>
      </c>
      <c r="J80">
        <f>Results_from_model!V80</f>
        <v>7.3579999999999997</v>
      </c>
      <c r="K80">
        <f>Results_from_model!W80</f>
        <v>8.0310000000000006</v>
      </c>
      <c r="L80">
        <f>Results_from_model!X80</f>
        <v>5.476</v>
      </c>
      <c r="M80">
        <f>Results_from_model!Y80</f>
        <v>5.6020000000000003</v>
      </c>
    </row>
    <row r="81" spans="1:13" x14ac:dyDescent="0.2">
      <c r="A81" t="s">
        <v>87</v>
      </c>
      <c r="B81">
        <f>Results_from_model!N81</f>
        <v>3.53</v>
      </c>
      <c r="C81">
        <f>Results_from_model!O81</f>
        <v>4.2439999999999998</v>
      </c>
      <c r="D81">
        <f>Results_from_model!P81</f>
        <v>6.5170000000000003</v>
      </c>
      <c r="E81">
        <f>Results_from_model!Q81</f>
        <v>7.2569999999999997</v>
      </c>
      <c r="F81">
        <f>Results_from_model!R81</f>
        <v>5.0529999999999999</v>
      </c>
      <c r="G81">
        <f>Results_from_model!S81</f>
        <v>5.3540000000000001</v>
      </c>
      <c r="H81">
        <f>Results_from_model!T81</f>
        <v>3.53</v>
      </c>
      <c r="I81">
        <f>Results_from_model!U81</f>
        <v>4.2439999999999998</v>
      </c>
      <c r="J81">
        <f>Results_from_model!V81</f>
        <v>7.4039999999999999</v>
      </c>
      <c r="K81">
        <f>Results_from_model!W81</f>
        <v>8.2119999999999997</v>
      </c>
      <c r="L81">
        <f>Results_from_model!X81</f>
        <v>5.5330000000000004</v>
      </c>
      <c r="M81">
        <f>Results_from_model!Y81</f>
        <v>5.7270000000000003</v>
      </c>
    </row>
    <row r="82" spans="1:13" x14ac:dyDescent="0.2">
      <c r="A82" t="s">
        <v>88</v>
      </c>
      <c r="B82">
        <f>Results_from_model!N82</f>
        <v>3.5430000000000001</v>
      </c>
      <c r="C82">
        <f>Results_from_model!O82</f>
        <v>4.306</v>
      </c>
      <c r="D82">
        <f>Results_from_model!P82</f>
        <v>6.5540000000000003</v>
      </c>
      <c r="E82">
        <f>Results_from_model!Q82</f>
        <v>7.41</v>
      </c>
      <c r="F82">
        <f>Results_from_model!R82</f>
        <v>5.0999999999999996</v>
      </c>
      <c r="G82">
        <f>Results_from_model!S82</f>
        <v>5.4630000000000001</v>
      </c>
      <c r="H82">
        <f>Results_from_model!T82</f>
        <v>3.5430000000000001</v>
      </c>
      <c r="I82">
        <f>Results_from_model!U82</f>
        <v>4.306</v>
      </c>
      <c r="J82">
        <f>Results_from_model!V82</f>
        <v>7.4480000000000004</v>
      </c>
      <c r="K82">
        <f>Results_from_model!W82</f>
        <v>8.3919999999999995</v>
      </c>
      <c r="L82">
        <f>Results_from_model!X82</f>
        <v>5.59</v>
      </c>
      <c r="M82">
        <f>Results_from_model!Y82</f>
        <v>5.851</v>
      </c>
    </row>
    <row r="83" spans="1:13" x14ac:dyDescent="0.2">
      <c r="A83" t="s">
        <v>89</v>
      </c>
      <c r="B83">
        <f>Results_from_model!N83</f>
        <v>3.5550000000000002</v>
      </c>
      <c r="C83">
        <f>Results_from_model!O83</f>
        <v>4.367</v>
      </c>
      <c r="D83">
        <f>Results_from_model!P83</f>
        <v>6.59</v>
      </c>
      <c r="E83">
        <f>Results_from_model!Q83</f>
        <v>7.56</v>
      </c>
      <c r="F83">
        <f>Results_from_model!R83</f>
        <v>5.1470000000000002</v>
      </c>
      <c r="G83">
        <f>Results_from_model!S83</f>
        <v>5.5720000000000001</v>
      </c>
      <c r="H83">
        <f>Results_from_model!T83</f>
        <v>3.5550000000000002</v>
      </c>
      <c r="I83">
        <f>Results_from_model!U83</f>
        <v>4.367</v>
      </c>
      <c r="J83">
        <f>Results_from_model!V83</f>
        <v>7.49</v>
      </c>
      <c r="K83">
        <f>Results_from_model!W83</f>
        <v>8.57</v>
      </c>
      <c r="L83">
        <f>Results_from_model!X83</f>
        <v>5.6459999999999999</v>
      </c>
      <c r="M83">
        <f>Results_from_model!Y83</f>
        <v>5.9749999999999996</v>
      </c>
    </row>
    <row r="84" spans="1:13" x14ac:dyDescent="0.2">
      <c r="A84" t="s">
        <v>90</v>
      </c>
      <c r="B84">
        <f>Results_from_model!N84</f>
        <v>3.5670000000000002</v>
      </c>
      <c r="C84">
        <f>Results_from_model!O84</f>
        <v>4.4269999999999996</v>
      </c>
      <c r="D84">
        <f>Results_from_model!P84</f>
        <v>6.625</v>
      </c>
      <c r="E84">
        <f>Results_from_model!Q84</f>
        <v>7.7089999999999996</v>
      </c>
      <c r="F84">
        <f>Results_from_model!R84</f>
        <v>5.1929999999999996</v>
      </c>
      <c r="G84">
        <f>Results_from_model!S84</f>
        <v>5.681</v>
      </c>
      <c r="H84">
        <f>Results_from_model!T84</f>
        <v>3.5670000000000002</v>
      </c>
      <c r="I84">
        <f>Results_from_model!U84</f>
        <v>4.4269999999999996</v>
      </c>
      <c r="J84">
        <f>Results_from_model!V84</f>
        <v>7.5309999999999997</v>
      </c>
      <c r="K84">
        <f>Results_from_model!W84</f>
        <v>8.7460000000000004</v>
      </c>
      <c r="L84">
        <f>Results_from_model!X84</f>
        <v>5.7030000000000003</v>
      </c>
      <c r="M84">
        <f>Results_from_model!Y84</f>
        <v>6.0990000000000002</v>
      </c>
    </row>
    <row r="85" spans="1:13" x14ac:dyDescent="0.2">
      <c r="A85" t="s">
        <v>91</v>
      </c>
      <c r="B85">
        <f>Results_from_model!N85</f>
        <v>3.5790000000000002</v>
      </c>
      <c r="C85">
        <f>Results_from_model!O85</f>
        <v>4.4859999999999998</v>
      </c>
      <c r="D85">
        <f>Results_from_model!P85</f>
        <v>6.6589999999999998</v>
      </c>
      <c r="E85">
        <f>Results_from_model!Q85</f>
        <v>7.8559999999999999</v>
      </c>
      <c r="F85">
        <f>Results_from_model!R85</f>
        <v>5.2389999999999999</v>
      </c>
      <c r="G85">
        <f>Results_from_model!S85</f>
        <v>5.7889999999999997</v>
      </c>
      <c r="H85">
        <f>Results_from_model!T85</f>
        <v>3.5790000000000002</v>
      </c>
      <c r="I85">
        <f>Results_from_model!U85</f>
        <v>4.4859999999999998</v>
      </c>
      <c r="J85">
        <f>Results_from_model!V85</f>
        <v>7.5709999999999997</v>
      </c>
      <c r="K85">
        <f>Results_from_model!W85</f>
        <v>8.9190000000000005</v>
      </c>
      <c r="L85">
        <f>Results_from_model!X85</f>
        <v>5.7590000000000003</v>
      </c>
      <c r="M85">
        <f>Results_from_model!Y85</f>
        <v>6.2229999999999999</v>
      </c>
    </row>
    <row r="86" spans="1:13" x14ac:dyDescent="0.2">
      <c r="A86" t="s">
        <v>92</v>
      </c>
      <c r="B86">
        <f>Results_from_model!N86</f>
        <v>3.59</v>
      </c>
      <c r="C86">
        <f>Results_from_model!O86</f>
        <v>4.5449999999999999</v>
      </c>
      <c r="D86">
        <f>Results_from_model!P86</f>
        <v>6.6909999999999998</v>
      </c>
      <c r="E86">
        <f>Results_from_model!Q86</f>
        <v>8.0020000000000007</v>
      </c>
      <c r="F86">
        <f>Results_from_model!R86</f>
        <v>5.2850000000000001</v>
      </c>
      <c r="G86">
        <f>Results_from_model!S86</f>
        <v>5.8970000000000002</v>
      </c>
      <c r="H86">
        <f>Results_from_model!T86</f>
        <v>3.59</v>
      </c>
      <c r="I86">
        <f>Results_from_model!U86</f>
        <v>4.5449999999999999</v>
      </c>
      <c r="J86">
        <f>Results_from_model!V86</f>
        <v>7.61</v>
      </c>
      <c r="K86">
        <f>Results_from_model!W86</f>
        <v>9.0909999999999993</v>
      </c>
      <c r="L86">
        <f>Results_from_model!X86</f>
        <v>5.8150000000000004</v>
      </c>
      <c r="M86">
        <f>Results_from_model!Y86</f>
        <v>6.3470000000000004</v>
      </c>
    </row>
    <row r="87" spans="1:13" x14ac:dyDescent="0.2">
      <c r="A87" t="s">
        <v>93</v>
      </c>
      <c r="B87">
        <f>Results_from_model!N87</f>
        <v>3.601</v>
      </c>
      <c r="C87">
        <f>Results_from_model!O87</f>
        <v>4.6020000000000003</v>
      </c>
      <c r="D87">
        <f>Results_from_model!P87</f>
        <v>6.7229999999999999</v>
      </c>
      <c r="E87">
        <f>Results_from_model!Q87</f>
        <v>8.1449999999999996</v>
      </c>
      <c r="F87">
        <f>Results_from_model!R87</f>
        <v>5.3310000000000004</v>
      </c>
      <c r="G87">
        <f>Results_from_model!S87</f>
        <v>6.0039999999999996</v>
      </c>
      <c r="H87">
        <f>Results_from_model!T87</f>
        <v>3.601</v>
      </c>
      <c r="I87">
        <f>Results_from_model!U87</f>
        <v>4.6020000000000003</v>
      </c>
      <c r="J87">
        <f>Results_from_model!V87</f>
        <v>7.6470000000000002</v>
      </c>
      <c r="K87">
        <f>Results_from_model!W87</f>
        <v>9.26</v>
      </c>
      <c r="L87">
        <f>Results_from_model!X87</f>
        <v>5.8710000000000004</v>
      </c>
      <c r="M87">
        <f>Results_from_model!Y87</f>
        <v>6.47</v>
      </c>
    </row>
    <row r="88" spans="1:13" x14ac:dyDescent="0.2">
      <c r="A88" t="s">
        <v>94</v>
      </c>
      <c r="B88">
        <f>Results_from_model!N88</f>
        <v>3.6110000000000002</v>
      </c>
      <c r="C88">
        <f>Results_from_model!O88</f>
        <v>4.6580000000000004</v>
      </c>
      <c r="D88">
        <f>Results_from_model!P88</f>
        <v>6.7539999999999996</v>
      </c>
      <c r="E88">
        <f>Results_from_model!Q88</f>
        <v>8.2859999999999996</v>
      </c>
      <c r="F88">
        <f>Results_from_model!R88</f>
        <v>5.3769999999999998</v>
      </c>
      <c r="G88">
        <f>Results_from_model!S88</f>
        <v>6.1109999999999998</v>
      </c>
      <c r="H88">
        <f>Results_from_model!T88</f>
        <v>3.6110000000000002</v>
      </c>
      <c r="I88">
        <f>Results_from_model!U88</f>
        <v>4.6580000000000004</v>
      </c>
      <c r="J88">
        <f>Results_from_model!V88</f>
        <v>7.6829999999999998</v>
      </c>
      <c r="K88">
        <f>Results_from_model!W88</f>
        <v>9.4269999999999996</v>
      </c>
      <c r="L88">
        <f>Results_from_model!X88</f>
        <v>5.9260000000000002</v>
      </c>
      <c r="M88">
        <f>Results_from_model!Y88</f>
        <v>6.5940000000000003</v>
      </c>
    </row>
    <row r="89" spans="1:13" x14ac:dyDescent="0.2">
      <c r="A89" t="s">
        <v>95</v>
      </c>
      <c r="B89">
        <f>Results_from_model!N89</f>
        <v>3.6219999999999999</v>
      </c>
      <c r="C89">
        <f>Results_from_model!O89</f>
        <v>4.7130000000000001</v>
      </c>
      <c r="D89">
        <f>Results_from_model!P89</f>
        <v>6.7830000000000004</v>
      </c>
      <c r="E89">
        <f>Results_from_model!Q89</f>
        <v>8.4260000000000002</v>
      </c>
      <c r="F89">
        <f>Results_from_model!R89</f>
        <v>5.4219999999999997</v>
      </c>
      <c r="G89">
        <f>Results_from_model!S89</f>
        <v>6.218</v>
      </c>
      <c r="H89">
        <f>Results_from_model!T89</f>
        <v>3.6219999999999999</v>
      </c>
      <c r="I89">
        <f>Results_from_model!U89</f>
        <v>4.7130000000000001</v>
      </c>
      <c r="J89">
        <f>Results_from_model!V89</f>
        <v>7.718</v>
      </c>
      <c r="K89">
        <f>Results_from_model!W89</f>
        <v>9.5920000000000005</v>
      </c>
      <c r="L89">
        <f>Results_from_model!X89</f>
        <v>5.9820000000000002</v>
      </c>
      <c r="M89">
        <f>Results_from_model!Y89</f>
        <v>6.7169999999999996</v>
      </c>
    </row>
    <row r="90" spans="1:13" x14ac:dyDescent="0.2">
      <c r="A90" t="s">
        <v>96</v>
      </c>
      <c r="B90">
        <f>Results_from_model!N90</f>
        <v>3.6309999999999998</v>
      </c>
      <c r="C90">
        <f>Results_from_model!O90</f>
        <v>4.7670000000000003</v>
      </c>
      <c r="D90">
        <f>Results_from_model!P90</f>
        <v>6.8120000000000003</v>
      </c>
      <c r="E90">
        <f>Results_from_model!Q90</f>
        <v>8.5630000000000006</v>
      </c>
      <c r="F90">
        <f>Results_from_model!R90</f>
        <v>5.4669999999999996</v>
      </c>
      <c r="G90">
        <f>Results_from_model!S90</f>
        <v>6.3239999999999998</v>
      </c>
      <c r="H90">
        <f>Results_from_model!T90</f>
        <v>3.6309999999999998</v>
      </c>
      <c r="I90">
        <f>Results_from_model!U90</f>
        <v>4.7670000000000003</v>
      </c>
      <c r="J90">
        <f>Results_from_model!V90</f>
        <v>7.7519999999999998</v>
      </c>
      <c r="K90">
        <f>Results_from_model!W90</f>
        <v>9.7539999999999996</v>
      </c>
      <c r="L90">
        <f>Results_from_model!X90</f>
        <v>6.0369999999999999</v>
      </c>
      <c r="M90">
        <f>Results_from_model!Y90</f>
        <v>6.84</v>
      </c>
    </row>
    <row r="91" spans="1:13" x14ac:dyDescent="0.2">
      <c r="A91" t="s">
        <v>97</v>
      </c>
      <c r="B91">
        <f>Results_from_model!N91</f>
        <v>3.641</v>
      </c>
      <c r="C91">
        <f>Results_from_model!O91</f>
        <v>4.82</v>
      </c>
      <c r="D91">
        <f>Results_from_model!P91</f>
        <v>6.84</v>
      </c>
      <c r="E91">
        <f>Results_from_model!Q91</f>
        <v>8.6989999999999998</v>
      </c>
      <c r="F91">
        <f>Results_from_model!R91</f>
        <v>5.5129999999999999</v>
      </c>
      <c r="G91">
        <f>Results_from_model!S91</f>
        <v>6.43</v>
      </c>
      <c r="H91">
        <f>Results_from_model!T91</f>
        <v>3.641</v>
      </c>
      <c r="I91">
        <f>Results_from_model!U91</f>
        <v>4.82</v>
      </c>
      <c r="J91">
        <f>Results_from_model!V91</f>
        <v>7.7850000000000001</v>
      </c>
      <c r="K91">
        <f>Results_from_model!W91</f>
        <v>9.9149999999999991</v>
      </c>
      <c r="L91">
        <f>Results_from_model!X91</f>
        <v>6.093</v>
      </c>
      <c r="M91">
        <f>Results_from_model!Y91</f>
        <v>6.9619999999999997</v>
      </c>
    </row>
    <row r="92" spans="1:13" x14ac:dyDescent="0.2">
      <c r="A92" t="s">
        <v>100</v>
      </c>
      <c r="B92">
        <f>Results_from_model!N92</f>
        <v>3.65</v>
      </c>
      <c r="C92">
        <f>Results_from_model!O92</f>
        <v>4.8719999999999999</v>
      </c>
      <c r="D92">
        <f>Results_from_model!P92</f>
        <v>6.867</v>
      </c>
      <c r="E92">
        <f>Results_from_model!Q92</f>
        <v>8.8320000000000007</v>
      </c>
      <c r="F92">
        <f>Results_from_model!R92</f>
        <v>5.5579999999999998</v>
      </c>
      <c r="G92">
        <f>Results_from_model!S92</f>
        <v>6.5359999999999996</v>
      </c>
      <c r="H92">
        <f>Results_from_model!T92</f>
        <v>3.65</v>
      </c>
      <c r="I92">
        <f>Results_from_model!U92</f>
        <v>4.8719999999999999</v>
      </c>
      <c r="J92">
        <f>Results_from_model!V92</f>
        <v>7.8170000000000002</v>
      </c>
      <c r="K92">
        <f>Results_from_model!W92</f>
        <v>10.073</v>
      </c>
      <c r="L92">
        <f>Results_from_model!X92</f>
        <v>6.1479999999999997</v>
      </c>
      <c r="M92">
        <f>Results_from_model!Y92</f>
        <v>7.085</v>
      </c>
    </row>
    <row r="93" spans="1:13" x14ac:dyDescent="0.2">
      <c r="A93" t="s">
        <v>101</v>
      </c>
      <c r="B93">
        <f>Results_from_model!N93</f>
        <v>3.6589999999999998</v>
      </c>
      <c r="C93">
        <f>Results_from_model!O93</f>
        <v>4.923</v>
      </c>
      <c r="D93">
        <f>Results_from_model!P93</f>
        <v>6.8929999999999998</v>
      </c>
      <c r="E93">
        <f>Results_from_model!Q93</f>
        <v>8.9640000000000004</v>
      </c>
      <c r="F93">
        <f>Results_from_model!R93</f>
        <v>5.6029999999999998</v>
      </c>
      <c r="G93">
        <f>Results_from_model!S93</f>
        <v>6.641</v>
      </c>
      <c r="H93">
        <f>Results_from_model!T93</f>
        <v>3.6589999999999998</v>
      </c>
      <c r="I93">
        <f>Results_from_model!U93</f>
        <v>4.923</v>
      </c>
      <c r="J93">
        <f>Results_from_model!V93</f>
        <v>7.8470000000000004</v>
      </c>
      <c r="K93">
        <f>Results_from_model!W93</f>
        <v>10.228</v>
      </c>
      <c r="L93">
        <f>Results_from_model!X93</f>
        <v>6.2030000000000003</v>
      </c>
      <c r="M93">
        <f>Results_from_model!Y93</f>
        <v>7.2069999999999999</v>
      </c>
    </row>
    <row r="94" spans="1:13" x14ac:dyDescent="0.2">
      <c r="A94" t="s">
        <v>102</v>
      </c>
      <c r="B94">
        <f>Results_from_model!N94</f>
        <v>3.6680000000000001</v>
      </c>
      <c r="C94">
        <f>Results_from_model!O94</f>
        <v>4.9729999999999999</v>
      </c>
      <c r="D94">
        <f>Results_from_model!P94</f>
        <v>6.9180000000000001</v>
      </c>
      <c r="E94">
        <f>Results_from_model!Q94</f>
        <v>9.0939999999999994</v>
      </c>
      <c r="F94">
        <f>Results_from_model!R94</f>
        <v>5.6479999999999997</v>
      </c>
      <c r="G94">
        <f>Results_from_model!S94</f>
        <v>6.7460000000000004</v>
      </c>
      <c r="H94">
        <f>Results_from_model!T94</f>
        <v>3.6680000000000001</v>
      </c>
      <c r="I94">
        <f>Results_from_model!U94</f>
        <v>4.9729999999999999</v>
      </c>
      <c r="J94">
        <f>Results_from_model!V94</f>
        <v>7.8769999999999998</v>
      </c>
      <c r="K94">
        <f>Results_from_model!W94</f>
        <v>10.382</v>
      </c>
      <c r="L94">
        <f>Results_from_model!X94</f>
        <v>6.258</v>
      </c>
      <c r="M94">
        <f>Results_from_model!Y94</f>
        <v>7.3289999999999997</v>
      </c>
    </row>
    <row r="95" spans="1:13" x14ac:dyDescent="0.2">
      <c r="A95" t="s">
        <v>103</v>
      </c>
      <c r="B95">
        <f>Results_from_model!N95</f>
        <v>3.6760000000000002</v>
      </c>
      <c r="C95">
        <f>Results_from_model!O95</f>
        <v>5.0229999999999997</v>
      </c>
      <c r="D95">
        <f>Results_from_model!P95</f>
        <v>6.9420000000000002</v>
      </c>
      <c r="E95">
        <f>Results_from_model!Q95</f>
        <v>9.2210000000000001</v>
      </c>
      <c r="F95">
        <f>Results_from_model!R95</f>
        <v>5.6929999999999996</v>
      </c>
      <c r="G95">
        <f>Results_from_model!S95</f>
        <v>6.85</v>
      </c>
      <c r="H95">
        <f>Results_from_model!T95</f>
        <v>3.6760000000000002</v>
      </c>
      <c r="I95">
        <f>Results_from_model!U95</f>
        <v>5.0229999999999997</v>
      </c>
      <c r="J95">
        <f>Results_from_model!V95</f>
        <v>7.9059999999999997</v>
      </c>
      <c r="K95">
        <f>Results_from_model!W95</f>
        <v>10.532999999999999</v>
      </c>
      <c r="L95">
        <f>Results_from_model!X95</f>
        <v>6.3140000000000001</v>
      </c>
      <c r="M95">
        <f>Results_from_model!Y95</f>
        <v>7.4509999999999996</v>
      </c>
    </row>
    <row r="96" spans="1:13" x14ac:dyDescent="0.2">
      <c r="A96" t="s">
        <v>104</v>
      </c>
      <c r="B96">
        <f>Results_from_model!N96</f>
        <v>3.6840000000000002</v>
      </c>
      <c r="C96">
        <f>Results_from_model!O96</f>
        <v>5.0709999999999997</v>
      </c>
      <c r="D96">
        <f>Results_from_model!P96</f>
        <v>6.9660000000000002</v>
      </c>
      <c r="E96">
        <f>Results_from_model!Q96</f>
        <v>9.3469999999999995</v>
      </c>
      <c r="F96">
        <f>Results_from_model!R96</f>
        <v>5.7380000000000004</v>
      </c>
      <c r="G96">
        <f>Results_from_model!S96</f>
        <v>6.9539999999999997</v>
      </c>
      <c r="H96">
        <f>Results_from_model!T96</f>
        <v>3.6840000000000002</v>
      </c>
      <c r="I96">
        <f>Results_from_model!U96</f>
        <v>5.0709999999999997</v>
      </c>
      <c r="J96">
        <f>Results_from_model!V96</f>
        <v>7.9340000000000002</v>
      </c>
      <c r="K96">
        <f>Results_from_model!W96</f>
        <v>10.682</v>
      </c>
      <c r="L96">
        <f>Results_from_model!X96</f>
        <v>6.3689999999999998</v>
      </c>
      <c r="M96">
        <f>Results_from_model!Y96</f>
        <v>7.5720000000000001</v>
      </c>
    </row>
    <row r="97" spans="1:13" x14ac:dyDescent="0.2">
      <c r="A97" t="s">
        <v>105</v>
      </c>
      <c r="B97">
        <f>Results_from_model!N97</f>
        <v>3.6920000000000002</v>
      </c>
      <c r="C97">
        <f>Results_from_model!O97</f>
        <v>5.1180000000000003</v>
      </c>
      <c r="D97">
        <f>Results_from_model!P97</f>
        <v>6.9889999999999999</v>
      </c>
      <c r="E97">
        <f>Results_from_model!Q97</f>
        <v>9.4700000000000006</v>
      </c>
      <c r="F97">
        <f>Results_from_model!R97</f>
        <v>5.7830000000000004</v>
      </c>
      <c r="G97">
        <f>Results_from_model!S97</f>
        <v>7.0579999999999998</v>
      </c>
      <c r="H97">
        <f>Results_from_model!T97</f>
        <v>3.6920000000000002</v>
      </c>
      <c r="I97">
        <f>Results_from_model!U97</f>
        <v>5.1180000000000003</v>
      </c>
      <c r="J97">
        <f>Results_from_model!V97</f>
        <v>7.9610000000000003</v>
      </c>
      <c r="K97">
        <f>Results_from_model!W97</f>
        <v>10.827999999999999</v>
      </c>
      <c r="L97">
        <f>Results_from_model!X97</f>
        <v>6.4240000000000004</v>
      </c>
      <c r="M97">
        <f>Results_from_model!Y97</f>
        <v>7.6929999999999996</v>
      </c>
    </row>
    <row r="98" spans="1:13" x14ac:dyDescent="0.2">
      <c r="A98" t="s">
        <v>107</v>
      </c>
      <c r="B98">
        <f>Results_from_model!N98</f>
        <v>3.7</v>
      </c>
      <c r="C98">
        <f>Results_from_model!O98</f>
        <v>5.1639999999999997</v>
      </c>
      <c r="D98">
        <f>Results_from_model!P98</f>
        <v>7.0110000000000001</v>
      </c>
      <c r="E98">
        <f>Results_from_model!Q98</f>
        <v>9.5920000000000005</v>
      </c>
      <c r="F98">
        <f>Results_from_model!R98</f>
        <v>5.8280000000000003</v>
      </c>
      <c r="G98">
        <f>Results_from_model!S98</f>
        <v>7.1609999999999996</v>
      </c>
      <c r="H98">
        <f>Results_from_model!T98</f>
        <v>3.7</v>
      </c>
      <c r="I98">
        <f>Results_from_model!U98</f>
        <v>5.1639999999999997</v>
      </c>
      <c r="J98">
        <f>Results_from_model!V98</f>
        <v>7.9870000000000001</v>
      </c>
      <c r="K98">
        <f>Results_from_model!W98</f>
        <v>10.972</v>
      </c>
      <c r="L98">
        <f>Results_from_model!X98</f>
        <v>6.48</v>
      </c>
      <c r="M98">
        <f>Results_from_model!Y98</f>
        <v>7.8140000000000001</v>
      </c>
    </row>
    <row r="99" spans="1:13" x14ac:dyDescent="0.2">
      <c r="A99" t="s">
        <v>108</v>
      </c>
      <c r="B99">
        <f>Results_from_model!N99</f>
        <v>3.7069999999999999</v>
      </c>
      <c r="C99">
        <f>Results_from_model!O99</f>
        <v>5.21</v>
      </c>
      <c r="D99">
        <f>Results_from_model!P99</f>
        <v>7.032</v>
      </c>
      <c r="E99">
        <f>Results_from_model!Q99</f>
        <v>9.7110000000000003</v>
      </c>
      <c r="F99">
        <f>Results_from_model!R99</f>
        <v>5.8730000000000002</v>
      </c>
      <c r="G99">
        <f>Results_from_model!S99</f>
        <v>7.2640000000000002</v>
      </c>
      <c r="H99">
        <f>Results_from_model!T99</f>
        <v>3.7069999999999999</v>
      </c>
      <c r="I99">
        <f>Results_from_model!U99</f>
        <v>5.21</v>
      </c>
      <c r="J99">
        <f>Results_from_model!V99</f>
        <v>8.0120000000000005</v>
      </c>
      <c r="K99">
        <f>Results_from_model!W99</f>
        <v>11.114000000000001</v>
      </c>
      <c r="L99">
        <f>Results_from_model!X99</f>
        <v>6.5359999999999996</v>
      </c>
      <c r="M99">
        <f>Results_from_model!Y99</f>
        <v>7.9349999999999996</v>
      </c>
    </row>
    <row r="100" spans="1:13" x14ac:dyDescent="0.2">
      <c r="A100" t="s">
        <v>109</v>
      </c>
      <c r="B100">
        <f>Results_from_model!N100</f>
        <v>3.714</v>
      </c>
      <c r="C100">
        <f>Results_from_model!O100</f>
        <v>5.2549999999999999</v>
      </c>
      <c r="D100">
        <f>Results_from_model!P100</f>
        <v>7.0529999999999999</v>
      </c>
      <c r="E100">
        <f>Results_from_model!Q100</f>
        <v>9.8290000000000006</v>
      </c>
      <c r="F100">
        <f>Results_from_model!R100</f>
        <v>5.9180000000000001</v>
      </c>
      <c r="G100">
        <f>Results_from_model!S100</f>
        <v>7.3659999999999997</v>
      </c>
      <c r="H100">
        <f>Results_from_model!T100</f>
        <v>3.714</v>
      </c>
      <c r="I100">
        <f>Results_from_model!U100</f>
        <v>5.2549999999999999</v>
      </c>
      <c r="J100">
        <f>Results_from_model!V100</f>
        <v>8.0370000000000008</v>
      </c>
      <c r="K100">
        <f>Results_from_model!W100</f>
        <v>11.253</v>
      </c>
      <c r="L100">
        <f>Results_from_model!X100</f>
        <v>6.5910000000000002</v>
      </c>
      <c r="M100">
        <f>Results_from_model!Y100</f>
        <v>8.0559999999999992</v>
      </c>
    </row>
    <row r="101" spans="1:13" x14ac:dyDescent="0.2">
      <c r="A101" t="s">
        <v>110</v>
      </c>
      <c r="B101">
        <f>Results_from_model!N101</f>
        <v>3.7210000000000001</v>
      </c>
      <c r="C101">
        <f>Results_from_model!O101</f>
        <v>5.298</v>
      </c>
      <c r="D101">
        <f>Results_from_model!P101</f>
        <v>7.0730000000000004</v>
      </c>
      <c r="E101">
        <f>Results_from_model!Q101</f>
        <v>9.9440000000000008</v>
      </c>
      <c r="F101">
        <f>Results_from_model!R101</f>
        <v>5.9630000000000001</v>
      </c>
      <c r="G101">
        <f>Results_from_model!S101</f>
        <v>7.468</v>
      </c>
      <c r="H101">
        <f>Results_from_model!T101</f>
        <v>3.7210000000000001</v>
      </c>
      <c r="I101">
        <f>Results_from_model!U101</f>
        <v>5.298</v>
      </c>
      <c r="J101">
        <f>Results_from_model!V101</f>
        <v>8.06</v>
      </c>
      <c r="K101">
        <f>Results_from_model!W101</f>
        <v>11.391</v>
      </c>
      <c r="L101">
        <f>Results_from_model!X101</f>
        <v>6.6479999999999997</v>
      </c>
      <c r="M101">
        <f>Results_from_model!Y101</f>
        <v>8.1760000000000002</v>
      </c>
    </row>
    <row r="102" spans="1:13" x14ac:dyDescent="0.2">
      <c r="A102" t="s">
        <v>111</v>
      </c>
      <c r="B102">
        <f>Results_from_model!N102</f>
        <v>3.7280000000000002</v>
      </c>
      <c r="C102">
        <f>Results_from_model!O102</f>
        <v>5.3410000000000002</v>
      </c>
      <c r="D102">
        <f>Results_from_model!P102</f>
        <v>7.093</v>
      </c>
      <c r="E102">
        <f>Results_from_model!Q102</f>
        <v>10.058</v>
      </c>
      <c r="F102">
        <f>Results_from_model!R102</f>
        <v>6.0090000000000003</v>
      </c>
      <c r="G102">
        <f>Results_from_model!S102</f>
        <v>7.569</v>
      </c>
      <c r="H102">
        <f>Results_from_model!T102</f>
        <v>3.7280000000000002</v>
      </c>
      <c r="I102">
        <f>Results_from_model!U102</f>
        <v>5.3410000000000002</v>
      </c>
      <c r="J102">
        <f>Results_from_model!V102</f>
        <v>8.0830000000000002</v>
      </c>
      <c r="K102">
        <f>Results_from_model!W102</f>
        <v>11.525</v>
      </c>
      <c r="L102">
        <f>Results_from_model!X102</f>
        <v>6.7039999999999997</v>
      </c>
      <c r="M102">
        <f>Results_from_model!Y102</f>
        <v>8.2949999999999999</v>
      </c>
    </row>
    <row r="103" spans="1:13" x14ac:dyDescent="0.2">
      <c r="A103" t="s">
        <v>112</v>
      </c>
      <c r="B103">
        <f>Results_from_model!N103</f>
        <v>3.734</v>
      </c>
      <c r="C103">
        <f>Results_from_model!O103</f>
        <v>5.383</v>
      </c>
      <c r="D103">
        <f>Results_from_model!P103</f>
        <v>7.1120000000000001</v>
      </c>
      <c r="E103">
        <f>Results_from_model!Q103</f>
        <v>10.169</v>
      </c>
      <c r="F103">
        <f>Results_from_model!R103</f>
        <v>6.0549999999999997</v>
      </c>
      <c r="G103">
        <f>Results_from_model!S103</f>
        <v>7.6710000000000003</v>
      </c>
      <c r="H103">
        <f>Results_from_model!T103</f>
        <v>3.734</v>
      </c>
      <c r="I103">
        <f>Results_from_model!U103</f>
        <v>5.383</v>
      </c>
      <c r="J103">
        <f>Results_from_model!V103</f>
        <v>8.1050000000000004</v>
      </c>
      <c r="K103">
        <f>Results_from_model!W103</f>
        <v>11.657999999999999</v>
      </c>
      <c r="L103">
        <f>Results_from_model!X103</f>
        <v>6.7610000000000001</v>
      </c>
      <c r="M103">
        <f>Results_from_model!Y103</f>
        <v>8.4149999999999991</v>
      </c>
    </row>
    <row r="104" spans="1:13" x14ac:dyDescent="0.2">
      <c r="A104" t="s">
        <v>113</v>
      </c>
      <c r="B104">
        <f>Results_from_model!N104</f>
        <v>3.74</v>
      </c>
      <c r="C104">
        <f>Results_from_model!O104</f>
        <v>5.4240000000000004</v>
      </c>
      <c r="D104">
        <f>Results_from_model!P104</f>
        <v>7.13</v>
      </c>
      <c r="E104">
        <f>Results_from_model!Q104</f>
        <v>10.279</v>
      </c>
      <c r="F104">
        <f>Results_from_model!R104</f>
        <v>6.101</v>
      </c>
      <c r="G104">
        <f>Results_from_model!S104</f>
        <v>7.7709999999999999</v>
      </c>
      <c r="H104">
        <f>Results_from_model!T104</f>
        <v>3.74</v>
      </c>
      <c r="I104">
        <f>Results_from_model!U104</f>
        <v>5.4240000000000004</v>
      </c>
      <c r="J104">
        <f>Results_from_model!V104</f>
        <v>8.1270000000000007</v>
      </c>
      <c r="K104">
        <f>Results_from_model!W104</f>
        <v>11.788</v>
      </c>
      <c r="L104">
        <f>Results_from_model!X104</f>
        <v>6.8179999999999996</v>
      </c>
      <c r="M104">
        <f>Results_from_model!Y104</f>
        <v>8.5340000000000007</v>
      </c>
    </row>
    <row r="105" spans="1:13" x14ac:dyDescent="0.2">
      <c r="A105" t="s">
        <v>19</v>
      </c>
      <c r="B105">
        <f>Results_from_model!N105</f>
        <v>3.746</v>
      </c>
      <c r="C105">
        <f>Results_from_model!O105</f>
        <v>5.4640000000000004</v>
      </c>
      <c r="D105">
        <f>Results_from_model!P105</f>
        <v>7.1470000000000002</v>
      </c>
      <c r="E105">
        <f>Results_from_model!Q105</f>
        <v>10.387</v>
      </c>
      <c r="F105">
        <f>Results_from_model!R105</f>
        <v>6.1470000000000002</v>
      </c>
      <c r="G105">
        <f>Results_from_model!S105</f>
        <v>7.8719999999999999</v>
      </c>
      <c r="H105">
        <f>Results_from_model!T105</f>
        <v>3.746</v>
      </c>
      <c r="I105">
        <f>Results_from_model!U105</f>
        <v>5.4640000000000004</v>
      </c>
      <c r="J105">
        <f>Results_from_model!V105</f>
        <v>8.1479999999999997</v>
      </c>
      <c r="K105">
        <f>Results_from_model!W105</f>
        <v>11.916</v>
      </c>
      <c r="L105">
        <f>Results_from_model!X105</f>
        <v>6.8760000000000003</v>
      </c>
      <c r="M105">
        <f>Results_from_model!Y105</f>
        <v>8.6530000000000005</v>
      </c>
    </row>
    <row r="1246" spans="46:46" x14ac:dyDescent="0.2">
      <c r="AT1246" s="5"/>
    </row>
    <row r="1247" spans="46:46" x14ac:dyDescent="0.2">
      <c r="AT1247" s="5"/>
    </row>
    <row r="1248" spans="46:46" x14ac:dyDescent="0.2">
      <c r="AT1248" s="5"/>
    </row>
    <row r="1249" spans="46:46" x14ac:dyDescent="0.2">
      <c r="AT1249" s="5"/>
    </row>
    <row r="1250" spans="46:46" x14ac:dyDescent="0.2">
      <c r="AT1250" s="5"/>
    </row>
    <row r="1251" spans="46:46" x14ac:dyDescent="0.2">
      <c r="AT1251" s="5"/>
    </row>
    <row r="1252" spans="46:46" x14ac:dyDescent="0.2">
      <c r="AT1252" s="5"/>
    </row>
    <row r="1253" spans="46:46" x14ac:dyDescent="0.2">
      <c r="AT1253" s="5"/>
    </row>
    <row r="1254" spans="46:46" x14ac:dyDescent="0.2">
      <c r="AT1254" s="5"/>
    </row>
    <row r="1255" spans="46:46" x14ac:dyDescent="0.2">
      <c r="AT1255" s="5"/>
    </row>
    <row r="1256" spans="46:46" x14ac:dyDescent="0.2">
      <c r="AT1256" s="5"/>
    </row>
    <row r="1257" spans="46:46" x14ac:dyDescent="0.2">
      <c r="AT1257" s="5"/>
    </row>
    <row r="1258" spans="46:46" x14ac:dyDescent="0.2">
      <c r="AT1258" s="5"/>
    </row>
    <row r="1259" spans="46:46" x14ac:dyDescent="0.2">
      <c r="AT1259" s="5"/>
    </row>
    <row r="1260" spans="46:46" x14ac:dyDescent="0.2">
      <c r="AT1260" s="5"/>
    </row>
    <row r="1261" spans="46:46" x14ac:dyDescent="0.2">
      <c r="AT1261" s="5"/>
    </row>
    <row r="1262" spans="46:46" x14ac:dyDescent="0.2">
      <c r="AT1262" s="5"/>
    </row>
    <row r="1263" spans="46:46" x14ac:dyDescent="0.2">
      <c r="AT1263" s="5"/>
    </row>
    <row r="1264" spans="46:46" x14ac:dyDescent="0.2">
      <c r="AT1264" s="5"/>
    </row>
    <row r="1265" spans="10:50" x14ac:dyDescent="0.2">
      <c r="AT1265" s="5"/>
    </row>
    <row r="1266" spans="10:50" x14ac:dyDescent="0.2">
      <c r="AT1266" s="5"/>
    </row>
    <row r="1267" spans="10:50" x14ac:dyDescent="0.2">
      <c r="AT1267" s="5"/>
    </row>
    <row r="1268" spans="10:50" x14ac:dyDescent="0.2">
      <c r="AT1268" s="5"/>
    </row>
    <row r="1269" spans="10:50" x14ac:dyDescent="0.2">
      <c r="AT1269" s="5"/>
    </row>
    <row r="1270" spans="10:50" x14ac:dyDescent="0.2">
      <c r="AT1270" s="5"/>
    </row>
    <row r="1271" spans="10:50" x14ac:dyDescent="0.2">
      <c r="AT1271" s="5"/>
    </row>
    <row r="1272" spans="10:50" x14ac:dyDescent="0.2">
      <c r="J1272" s="5"/>
      <c r="K1272" s="5"/>
      <c r="AT1272" s="5"/>
      <c r="AV1272" s="5"/>
      <c r="AW1272" s="5"/>
      <c r="AX1272" s="5"/>
    </row>
    <row r="1273" spans="10:50" x14ac:dyDescent="0.2">
      <c r="J1273" s="5"/>
      <c r="K1273" s="5"/>
      <c r="AT1273" s="5"/>
      <c r="AV1273" s="5"/>
      <c r="AW1273" s="5"/>
      <c r="AX1273" s="5"/>
    </row>
    <row r="1274" spans="10:50" x14ac:dyDescent="0.2">
      <c r="J1274" s="5"/>
      <c r="K1274" s="5"/>
      <c r="AT1274" s="5"/>
      <c r="AU1274" s="5"/>
      <c r="AV1274" s="5"/>
      <c r="AW1274" s="5"/>
      <c r="AX1274" s="5"/>
    </row>
    <row r="1275" spans="10:50" x14ac:dyDescent="0.2">
      <c r="J1275" s="5"/>
      <c r="K1275" s="5"/>
      <c r="AT1275" s="5"/>
      <c r="AU1275" s="5"/>
      <c r="AV1275" s="5"/>
      <c r="AW1275" s="5"/>
      <c r="AX1275" s="5"/>
    </row>
    <row r="1276" spans="10:50" x14ac:dyDescent="0.2">
      <c r="J1276" s="5"/>
      <c r="K1276" s="5"/>
      <c r="AT1276" s="5"/>
      <c r="AU1276" s="5"/>
      <c r="AV1276" s="5"/>
      <c r="AW1276" s="5"/>
      <c r="AX1276" s="5"/>
    </row>
    <row r="1277" spans="10:50" x14ac:dyDescent="0.2">
      <c r="J1277" s="5"/>
      <c r="K1277" s="5"/>
      <c r="AT1277" s="5"/>
      <c r="AU1277" s="5"/>
      <c r="AV1277" s="5"/>
      <c r="AW1277" s="5"/>
      <c r="AX1277" s="5"/>
    </row>
    <row r="1278" spans="10:50" x14ac:dyDescent="0.2">
      <c r="J1278" s="5"/>
      <c r="K1278" s="5"/>
      <c r="AT1278" s="5"/>
      <c r="AU1278" s="5"/>
      <c r="AV1278" s="5"/>
      <c r="AW1278" s="5"/>
      <c r="AX1278" s="5"/>
    </row>
    <row r="1279" spans="10:50" x14ac:dyDescent="0.2">
      <c r="J1279" s="5"/>
      <c r="K1279" s="5"/>
      <c r="AT1279" s="5"/>
      <c r="AU1279" s="5"/>
      <c r="AV1279" s="5"/>
      <c r="AW1279" s="5"/>
      <c r="AX1279" s="5"/>
    </row>
    <row r="1280" spans="10:50" x14ac:dyDescent="0.2">
      <c r="J1280" s="5"/>
      <c r="K1280" s="5"/>
      <c r="AT1280" s="5"/>
      <c r="AU1280" s="5"/>
      <c r="AV1280" s="5"/>
      <c r="AW1280" s="5"/>
      <c r="AX1280" s="5"/>
    </row>
    <row r="1281" spans="10:50" x14ac:dyDescent="0.2">
      <c r="J1281" s="5"/>
      <c r="K1281" s="5"/>
      <c r="AT1281" s="5"/>
      <c r="AU1281" s="5"/>
      <c r="AV1281" s="5"/>
      <c r="AW1281" s="5"/>
      <c r="AX1281" s="5"/>
    </row>
    <row r="1282" spans="10:50" x14ac:dyDescent="0.2">
      <c r="J1282" s="5"/>
      <c r="K1282" s="5"/>
      <c r="AT1282" s="5"/>
      <c r="AU1282" s="5"/>
      <c r="AV1282" s="5"/>
      <c r="AW1282" s="5"/>
      <c r="AX1282" s="5"/>
    </row>
    <row r="1283" spans="10:50" x14ac:dyDescent="0.2">
      <c r="J1283" s="5"/>
      <c r="K1283" s="5"/>
      <c r="AT1283" s="5"/>
      <c r="AU1283" s="5"/>
      <c r="AV1283" s="5"/>
      <c r="AW1283" s="5"/>
      <c r="AX1283" s="5"/>
    </row>
    <row r="1284" spans="10:50" x14ac:dyDescent="0.2">
      <c r="J1284" s="5"/>
      <c r="K1284" s="5"/>
      <c r="AT1284" s="5"/>
      <c r="AU1284" s="5"/>
      <c r="AV1284" s="5"/>
      <c r="AW1284" s="5"/>
      <c r="AX1284" s="5"/>
    </row>
    <row r="1285" spans="10:50" x14ac:dyDescent="0.2">
      <c r="J1285" s="5"/>
      <c r="K1285" s="5"/>
      <c r="AT1285" s="5"/>
      <c r="AU1285" s="5"/>
      <c r="AV1285" s="5"/>
      <c r="AW1285" s="5"/>
      <c r="AX1285" s="5"/>
    </row>
    <row r="1286" spans="10:50" x14ac:dyDescent="0.2">
      <c r="J1286" s="5"/>
      <c r="K1286" s="5"/>
      <c r="AT1286" s="5"/>
      <c r="AU1286" s="5"/>
      <c r="AV1286" s="5"/>
      <c r="AW1286" s="5"/>
      <c r="AX1286" s="5"/>
    </row>
    <row r="1287" spans="10:50" x14ac:dyDescent="0.2">
      <c r="J1287" s="5"/>
      <c r="K1287" s="5"/>
      <c r="AT1287" s="5"/>
      <c r="AU1287" s="5"/>
      <c r="AV1287" s="5"/>
      <c r="AW1287" s="5"/>
      <c r="AX1287" s="5"/>
    </row>
    <row r="1288" spans="10:50" x14ac:dyDescent="0.2">
      <c r="J1288" s="5"/>
      <c r="K1288" s="5"/>
      <c r="AT1288" s="5"/>
      <c r="AU1288" s="5"/>
      <c r="AV1288" s="5"/>
      <c r="AW1288" s="5"/>
      <c r="AX1288" s="5"/>
    </row>
    <row r="1289" spans="10:50" x14ac:dyDescent="0.2">
      <c r="J1289" s="5"/>
      <c r="K1289" s="5"/>
      <c r="AT1289" s="5"/>
      <c r="AU1289" s="5"/>
      <c r="AV1289" s="5"/>
      <c r="AW1289" s="5"/>
      <c r="AX1289" s="5"/>
    </row>
    <row r="1290" spans="10:50" x14ac:dyDescent="0.2">
      <c r="J1290" s="5"/>
      <c r="K1290" s="5"/>
      <c r="AT1290" s="5"/>
      <c r="AU1290" s="5"/>
      <c r="AV1290" s="5"/>
      <c r="AW1290" s="5"/>
      <c r="AX1290" s="5"/>
    </row>
    <row r="1291" spans="10:50" x14ac:dyDescent="0.2">
      <c r="J1291" s="5"/>
      <c r="K1291" s="5"/>
      <c r="AT1291" s="5"/>
      <c r="AU1291" s="5"/>
      <c r="AV1291" s="5"/>
      <c r="AW1291" s="5"/>
      <c r="AX1291" s="5"/>
    </row>
    <row r="1292" spans="10:50" x14ac:dyDescent="0.2">
      <c r="J1292" s="5"/>
      <c r="K1292" s="5"/>
      <c r="AT1292" s="5"/>
      <c r="AU1292" s="5"/>
      <c r="AV1292" s="5"/>
      <c r="AW1292" s="5"/>
      <c r="AX1292" s="5"/>
    </row>
    <row r="1293" spans="10:50" x14ac:dyDescent="0.2">
      <c r="J1293" s="5"/>
      <c r="K1293" s="5"/>
      <c r="AT1293" s="5"/>
      <c r="AU1293" s="5"/>
      <c r="AV1293" s="5"/>
      <c r="AW1293" s="5"/>
      <c r="AX1293" s="5"/>
    </row>
    <row r="1294" spans="10:50" x14ac:dyDescent="0.2">
      <c r="J1294" s="5"/>
      <c r="K1294" s="5"/>
      <c r="AT1294" s="5"/>
      <c r="AU1294" s="5"/>
      <c r="AV1294" s="5"/>
      <c r="AW1294" s="5"/>
      <c r="AX1294" s="5"/>
    </row>
    <row r="1295" spans="10:50" x14ac:dyDescent="0.2">
      <c r="J1295" s="5"/>
      <c r="K1295" s="5"/>
      <c r="AT1295" s="5"/>
      <c r="AU1295" s="5"/>
      <c r="AV1295" s="5"/>
      <c r="AW1295" s="5"/>
      <c r="AX1295" s="5"/>
    </row>
    <row r="1296" spans="10:50" x14ac:dyDescent="0.2">
      <c r="J1296" s="5"/>
      <c r="K1296" s="5"/>
      <c r="AT1296" s="5"/>
      <c r="AU1296" s="5"/>
      <c r="AV1296" s="5"/>
      <c r="AW1296" s="5"/>
      <c r="AX1296" s="5"/>
    </row>
    <row r="1297" spans="10:50" x14ac:dyDescent="0.2">
      <c r="J1297" s="5"/>
      <c r="K1297" s="5"/>
      <c r="AT1297" s="5"/>
      <c r="AU1297" s="5"/>
      <c r="AV1297" s="5"/>
      <c r="AW1297" s="5"/>
      <c r="AX1297" s="5"/>
    </row>
    <row r="1298" spans="10:50" x14ac:dyDescent="0.2">
      <c r="J1298" s="5"/>
      <c r="K1298" s="5"/>
      <c r="AT1298" s="5"/>
      <c r="AU1298" s="5"/>
      <c r="AV1298" s="5"/>
      <c r="AW1298" s="5"/>
      <c r="AX1298" s="5"/>
    </row>
    <row r="1299" spans="10:50" x14ac:dyDescent="0.2">
      <c r="J1299" s="5"/>
      <c r="K1299" s="5"/>
      <c r="AT1299" s="5"/>
      <c r="AU1299" s="5"/>
      <c r="AV1299" s="5"/>
      <c r="AW1299" s="5"/>
      <c r="AX1299" s="5"/>
    </row>
    <row r="1300" spans="10:50" x14ac:dyDescent="0.2">
      <c r="J1300" s="5"/>
      <c r="K1300" s="5"/>
      <c r="AT1300" s="5"/>
      <c r="AU1300" s="5"/>
      <c r="AV1300" s="5"/>
      <c r="AW1300" s="5"/>
      <c r="AX1300" s="5"/>
    </row>
    <row r="1301" spans="10:50" x14ac:dyDescent="0.2">
      <c r="J1301" s="5"/>
      <c r="K1301" s="5"/>
      <c r="AT1301" s="5"/>
      <c r="AU1301" s="5"/>
      <c r="AV1301" s="5"/>
      <c r="AW1301" s="5"/>
      <c r="AX1301" s="5"/>
    </row>
    <row r="1302" spans="10:50" x14ac:dyDescent="0.2">
      <c r="J1302" s="5"/>
      <c r="K1302" s="5"/>
      <c r="AT1302" s="5"/>
      <c r="AU1302" s="5"/>
      <c r="AV1302" s="5"/>
      <c r="AW1302" s="5"/>
      <c r="AX1302" s="5"/>
    </row>
    <row r="1303" spans="10:50" x14ac:dyDescent="0.2">
      <c r="J1303" s="5"/>
      <c r="K1303" s="5"/>
      <c r="AT1303" s="5"/>
      <c r="AU1303" s="5"/>
      <c r="AV1303" s="5"/>
      <c r="AW1303" s="5"/>
      <c r="AX1303" s="5"/>
    </row>
    <row r="1304" spans="10:50" x14ac:dyDescent="0.2">
      <c r="J1304" s="5"/>
      <c r="K1304" s="5"/>
      <c r="AT1304" s="5"/>
      <c r="AU1304" s="5"/>
      <c r="AV1304" s="5"/>
      <c r="AW1304" s="5"/>
      <c r="AX1304" s="5"/>
    </row>
    <row r="1305" spans="10:50" x14ac:dyDescent="0.2">
      <c r="J1305" s="5"/>
      <c r="K1305" s="5"/>
      <c r="AT1305" s="5"/>
      <c r="AU1305" s="5"/>
      <c r="AV1305" s="5"/>
      <c r="AW1305" s="5"/>
      <c r="AX1305" s="5"/>
    </row>
    <row r="1306" spans="10:50" x14ac:dyDescent="0.2">
      <c r="J1306" s="5"/>
      <c r="K1306" s="5"/>
      <c r="AT1306" s="5"/>
      <c r="AU1306" s="5"/>
      <c r="AV1306" s="5"/>
      <c r="AW1306" s="5"/>
      <c r="AX1306" s="5"/>
    </row>
    <row r="1307" spans="10:50" x14ac:dyDescent="0.2">
      <c r="J1307" s="5"/>
      <c r="K1307" s="5"/>
      <c r="AT1307" s="5"/>
      <c r="AU1307" s="5"/>
      <c r="AV1307" s="5"/>
      <c r="AW1307" s="5"/>
      <c r="AX1307" s="5"/>
    </row>
    <row r="1308" spans="10:50" x14ac:dyDescent="0.2">
      <c r="J1308" s="5"/>
      <c r="K1308" s="5"/>
      <c r="AT1308" s="5"/>
      <c r="AU1308" s="5"/>
      <c r="AV1308" s="5"/>
      <c r="AW1308" s="5"/>
      <c r="AX1308" s="5"/>
    </row>
    <row r="1309" spans="10:50" x14ac:dyDescent="0.2">
      <c r="J1309" s="5"/>
      <c r="K1309" s="5"/>
      <c r="AT1309" s="5"/>
      <c r="AU1309" s="5"/>
      <c r="AV1309" s="5"/>
      <c r="AW1309" s="5"/>
      <c r="AX1309" s="5"/>
    </row>
    <row r="1310" spans="10:50" x14ac:dyDescent="0.2">
      <c r="J1310" s="5"/>
      <c r="K1310" s="5"/>
      <c r="AT1310" s="5"/>
      <c r="AU1310" s="5"/>
      <c r="AV1310" s="5"/>
      <c r="AW1310" s="5"/>
      <c r="AX1310" s="5"/>
    </row>
    <row r="1311" spans="10:50" x14ac:dyDescent="0.2">
      <c r="J1311" s="5"/>
      <c r="K1311" s="5"/>
      <c r="AT1311" s="5"/>
      <c r="AU1311" s="5"/>
      <c r="AV1311" s="5"/>
      <c r="AW1311" s="5"/>
      <c r="AX1311" s="5"/>
    </row>
    <row r="1312" spans="10:50" x14ac:dyDescent="0.2">
      <c r="J1312" s="5"/>
      <c r="K1312" s="5"/>
      <c r="AT1312" s="5"/>
      <c r="AU1312" s="5"/>
      <c r="AV1312" s="5"/>
      <c r="AW1312" s="5"/>
      <c r="AX1312" s="5"/>
    </row>
    <row r="1313" spans="10:50" x14ac:dyDescent="0.2">
      <c r="J1313" s="5"/>
      <c r="K1313" s="5"/>
      <c r="AT1313" s="5"/>
      <c r="AU1313" s="5"/>
      <c r="AV1313" s="5"/>
      <c r="AW1313" s="5"/>
      <c r="AX1313" s="5"/>
    </row>
    <row r="1314" spans="10:50" x14ac:dyDescent="0.2">
      <c r="J1314" s="5"/>
      <c r="K1314" s="5"/>
      <c r="AT1314" s="5"/>
      <c r="AU1314" s="5"/>
      <c r="AV1314" s="5"/>
      <c r="AW1314" s="5"/>
      <c r="AX1314" s="5"/>
    </row>
    <row r="1315" spans="10:50" x14ac:dyDescent="0.2">
      <c r="J1315" s="5"/>
      <c r="K1315" s="5"/>
      <c r="AT1315" s="5"/>
      <c r="AU1315" s="5"/>
      <c r="AV1315" s="5"/>
      <c r="AW1315" s="5"/>
      <c r="AX1315" s="5"/>
    </row>
    <row r="1316" spans="10:50" x14ac:dyDescent="0.2">
      <c r="J1316" s="5"/>
      <c r="K1316" s="5"/>
      <c r="AT1316" s="5"/>
      <c r="AU1316" s="5"/>
      <c r="AV1316" s="5"/>
      <c r="AW1316" s="5"/>
      <c r="AX1316" s="5"/>
    </row>
    <row r="1317" spans="10:50" x14ac:dyDescent="0.2">
      <c r="J1317" s="5"/>
      <c r="K1317" s="5"/>
      <c r="AT1317" s="5"/>
      <c r="AU1317" s="5"/>
      <c r="AV1317" s="5"/>
      <c r="AW1317" s="5"/>
      <c r="AX1317" s="5"/>
    </row>
    <row r="1318" spans="10:50" x14ac:dyDescent="0.2">
      <c r="J1318" s="5"/>
      <c r="K1318" s="5"/>
      <c r="AT1318" s="5"/>
      <c r="AU1318" s="5"/>
      <c r="AV1318" s="5"/>
      <c r="AW1318" s="5"/>
      <c r="AX1318" s="5"/>
    </row>
    <row r="1319" spans="10:50" x14ac:dyDescent="0.2">
      <c r="J1319" s="5"/>
      <c r="K1319" s="5"/>
      <c r="AT1319" s="5"/>
      <c r="AU1319" s="5"/>
      <c r="AV1319" s="5"/>
      <c r="AW1319" s="5"/>
      <c r="AX1319" s="5"/>
    </row>
    <row r="1320" spans="10:50" x14ac:dyDescent="0.2">
      <c r="J1320" s="5"/>
      <c r="K1320" s="5"/>
      <c r="AT1320" s="5"/>
      <c r="AU1320" s="5"/>
      <c r="AV1320" s="5"/>
      <c r="AW1320" s="5"/>
      <c r="AX1320" s="5"/>
    </row>
    <row r="1321" spans="10:50" x14ac:dyDescent="0.2">
      <c r="J1321" s="5"/>
      <c r="K1321" s="5"/>
      <c r="AT1321" s="5"/>
      <c r="AU1321" s="5"/>
      <c r="AV1321" s="5"/>
      <c r="AW1321" s="5"/>
      <c r="AX1321" s="5"/>
    </row>
    <row r="1322" spans="10:50" x14ac:dyDescent="0.2">
      <c r="J1322" s="5"/>
      <c r="K1322" s="5"/>
      <c r="AT1322" s="5"/>
      <c r="AU1322" s="5"/>
      <c r="AV1322" s="5"/>
      <c r="AW1322" s="5"/>
      <c r="AX1322" s="5"/>
    </row>
    <row r="1323" spans="10:50" x14ac:dyDescent="0.2">
      <c r="J1323" s="5"/>
      <c r="K1323" s="5"/>
      <c r="AT1323" s="5"/>
      <c r="AU1323" s="5"/>
      <c r="AV1323" s="5"/>
      <c r="AW1323" s="5"/>
      <c r="AX1323" s="5"/>
    </row>
    <row r="1324" spans="10:50" x14ac:dyDescent="0.2">
      <c r="J1324" s="5"/>
      <c r="K1324" s="5"/>
      <c r="AT1324" s="5"/>
      <c r="AU1324" s="5"/>
      <c r="AV1324" s="5"/>
      <c r="AW1324" s="5"/>
      <c r="AX1324" s="5"/>
    </row>
    <row r="1325" spans="10:50" x14ac:dyDescent="0.2">
      <c r="J1325" s="5"/>
      <c r="K1325" s="5"/>
      <c r="AT1325" s="5"/>
      <c r="AU1325" s="5"/>
      <c r="AV1325" s="5"/>
      <c r="AW1325" s="5"/>
      <c r="AX1325" s="5"/>
    </row>
    <row r="1326" spans="10:50" x14ac:dyDescent="0.2">
      <c r="J1326" s="5"/>
      <c r="K1326" s="5"/>
      <c r="AT1326" s="5"/>
      <c r="AU1326" s="5"/>
      <c r="AV1326" s="5"/>
      <c r="AW1326" s="5"/>
      <c r="AX1326" s="5"/>
    </row>
    <row r="1327" spans="10:50" x14ac:dyDescent="0.2">
      <c r="J1327" s="5"/>
      <c r="K1327" s="5"/>
      <c r="AT1327" s="5"/>
      <c r="AU1327" s="5"/>
      <c r="AV1327" s="5"/>
      <c r="AW1327" s="5"/>
      <c r="AX1327" s="5"/>
    </row>
    <row r="1328" spans="10:50" x14ac:dyDescent="0.2">
      <c r="J1328" s="5"/>
      <c r="K1328" s="5"/>
      <c r="AT1328" s="5"/>
      <c r="AU1328" s="5"/>
      <c r="AV1328" s="5"/>
      <c r="AW1328" s="5"/>
      <c r="AX1328" s="5"/>
    </row>
    <row r="1329" spans="10:50" x14ac:dyDescent="0.2">
      <c r="J1329" s="5"/>
      <c r="K1329" s="5"/>
      <c r="AT1329" s="5"/>
      <c r="AU1329" s="5"/>
      <c r="AV1329" s="5"/>
      <c r="AW1329" s="5"/>
      <c r="AX1329" s="5"/>
    </row>
    <row r="1330" spans="10:50" x14ac:dyDescent="0.2">
      <c r="J1330" s="5"/>
      <c r="K1330" s="5"/>
      <c r="AT1330" s="5"/>
      <c r="AU1330" s="5"/>
      <c r="AV1330" s="5"/>
      <c r="AW1330" s="5"/>
      <c r="AX1330" s="5"/>
    </row>
    <row r="1331" spans="10:50" x14ac:dyDescent="0.2">
      <c r="J1331" s="5"/>
      <c r="K1331" s="5"/>
      <c r="AT1331" s="5"/>
      <c r="AU1331" s="5"/>
      <c r="AV1331" s="5"/>
      <c r="AW1331" s="5"/>
      <c r="AX1331" s="5"/>
    </row>
    <row r="1332" spans="10:50" x14ac:dyDescent="0.2">
      <c r="J1332" s="5"/>
      <c r="K1332" s="5"/>
      <c r="AT1332" s="5"/>
      <c r="AU1332" s="5"/>
      <c r="AV1332" s="5"/>
      <c r="AW1332" s="5"/>
      <c r="AX1332" s="5"/>
    </row>
    <row r="1333" spans="10:50" x14ac:dyDescent="0.2">
      <c r="J1333" s="5"/>
      <c r="K1333" s="5"/>
      <c r="AT1333" s="5"/>
      <c r="AU1333" s="5"/>
      <c r="AV1333" s="5"/>
      <c r="AW1333" s="5"/>
      <c r="AX1333" s="5"/>
    </row>
    <row r="1334" spans="10:50" x14ac:dyDescent="0.2">
      <c r="J1334" s="5"/>
      <c r="K1334" s="5"/>
      <c r="AT1334" s="5"/>
      <c r="AU1334" s="5"/>
      <c r="AV1334" s="5"/>
      <c r="AW1334" s="5"/>
      <c r="AX1334" s="5"/>
    </row>
    <row r="1335" spans="10:50" x14ac:dyDescent="0.2">
      <c r="J1335" s="5"/>
      <c r="K1335" s="5"/>
      <c r="AT1335" s="5"/>
      <c r="AU1335" s="5"/>
      <c r="AV1335" s="5"/>
      <c r="AW1335" s="5"/>
      <c r="AX1335" s="5"/>
    </row>
    <row r="1336" spans="10:50" x14ac:dyDescent="0.2">
      <c r="J1336" s="5"/>
      <c r="K1336" s="5"/>
      <c r="AT1336" s="5"/>
      <c r="AU1336" s="5"/>
      <c r="AV1336" s="5"/>
      <c r="AW1336" s="5"/>
      <c r="AX1336" s="5"/>
    </row>
    <row r="1337" spans="10:50" x14ac:dyDescent="0.2">
      <c r="J1337" s="5"/>
      <c r="K1337" s="5"/>
      <c r="AT1337" s="5"/>
      <c r="AU1337" s="5"/>
      <c r="AV1337" s="5"/>
      <c r="AW1337" s="5"/>
      <c r="AX1337" s="5"/>
    </row>
    <row r="1338" spans="10:50" x14ac:dyDescent="0.2">
      <c r="J1338" s="5"/>
      <c r="K1338" s="5"/>
      <c r="AT1338" s="5"/>
      <c r="AU1338" s="5"/>
      <c r="AV1338" s="5"/>
      <c r="AW1338" s="5"/>
      <c r="AX1338" s="5"/>
    </row>
    <row r="1339" spans="10:50" x14ac:dyDescent="0.2">
      <c r="J1339" s="5"/>
      <c r="K1339" s="5"/>
      <c r="AT1339" s="5"/>
      <c r="AU1339" s="5"/>
      <c r="AV1339" s="5"/>
      <c r="AW1339" s="5"/>
      <c r="AX1339" s="5"/>
    </row>
    <row r="1340" spans="10:50" x14ac:dyDescent="0.2">
      <c r="J1340" s="5"/>
      <c r="K1340" s="5"/>
      <c r="AT1340" s="5"/>
      <c r="AU1340" s="5"/>
      <c r="AV1340" s="5"/>
      <c r="AW1340" s="5"/>
      <c r="AX1340" s="5"/>
    </row>
    <row r="1341" spans="10:50" x14ac:dyDescent="0.2">
      <c r="J1341" s="5"/>
      <c r="K1341" s="5"/>
      <c r="AT1341" s="5"/>
      <c r="AU1341" s="5"/>
      <c r="AV1341" s="5"/>
      <c r="AW1341" s="5"/>
      <c r="AX1341" s="5"/>
    </row>
    <row r="1342" spans="10:50" x14ac:dyDescent="0.2">
      <c r="J1342" s="5"/>
      <c r="K1342" s="5"/>
      <c r="AT1342" s="5"/>
      <c r="AU1342" s="5"/>
      <c r="AV1342" s="5"/>
      <c r="AW1342" s="5"/>
      <c r="AX1342" s="5"/>
    </row>
    <row r="1343" spans="10:50" x14ac:dyDescent="0.2">
      <c r="J1343" s="5"/>
      <c r="K1343" s="5"/>
      <c r="AT1343" s="5"/>
      <c r="AU1343" s="5"/>
      <c r="AV1343" s="5"/>
      <c r="AW1343" s="5"/>
      <c r="AX1343" s="5"/>
    </row>
    <row r="1344" spans="10:50" x14ac:dyDescent="0.2">
      <c r="J1344" s="5"/>
      <c r="K1344" s="5"/>
      <c r="AT1344" s="5"/>
      <c r="AU1344" s="5"/>
      <c r="AV1344" s="5"/>
      <c r="AW1344" s="5"/>
      <c r="AX1344" s="5"/>
    </row>
    <row r="1345" spans="10:50" x14ac:dyDescent="0.2">
      <c r="J1345" s="5"/>
      <c r="K1345" s="5"/>
      <c r="AT1345" s="5"/>
      <c r="AU1345" s="5"/>
      <c r="AV1345" s="5"/>
      <c r="AW1345" s="5"/>
      <c r="AX1345" s="5"/>
    </row>
    <row r="1346" spans="10:50" x14ac:dyDescent="0.2">
      <c r="J1346" s="5"/>
      <c r="K1346" s="5"/>
      <c r="AT1346" s="5"/>
      <c r="AU1346" s="5"/>
      <c r="AV1346" s="5"/>
      <c r="AW1346" s="5"/>
      <c r="AX1346" s="5"/>
    </row>
    <row r="1347" spans="10:50" x14ac:dyDescent="0.2">
      <c r="J1347" s="5"/>
      <c r="K1347" s="5"/>
      <c r="AT1347" s="5"/>
      <c r="AU1347" s="5"/>
      <c r="AV1347" s="5"/>
      <c r="AW1347" s="5"/>
      <c r="AX1347" s="5"/>
    </row>
    <row r="1348" spans="10:50" x14ac:dyDescent="0.2">
      <c r="J1348" s="5"/>
      <c r="K1348" s="5"/>
      <c r="AT1348" s="5"/>
      <c r="AU1348" s="5"/>
      <c r="AV1348" s="5"/>
      <c r="AW1348" s="5"/>
      <c r="AX1348" s="5"/>
    </row>
    <row r="1349" spans="10:50" x14ac:dyDescent="0.2">
      <c r="J1349" s="5"/>
      <c r="K1349" s="5"/>
      <c r="AT1349" s="5"/>
      <c r="AU1349" s="5"/>
      <c r="AV1349" s="5"/>
      <c r="AW1349" s="5"/>
      <c r="AX1349" s="5"/>
    </row>
    <row r="1350" spans="10:50" x14ac:dyDescent="0.2">
      <c r="J1350" s="5"/>
      <c r="K1350" s="5"/>
      <c r="AT1350" s="5"/>
      <c r="AU1350" s="5"/>
      <c r="AV1350" s="5"/>
      <c r="AW1350" s="5"/>
      <c r="AX1350" s="5"/>
    </row>
    <row r="1351" spans="10:50" x14ac:dyDescent="0.2">
      <c r="J1351" s="5"/>
      <c r="K1351" s="5"/>
      <c r="AT1351" s="5"/>
      <c r="AU1351" s="5"/>
      <c r="AV1351" s="5"/>
      <c r="AW1351" s="5"/>
      <c r="AX1351" s="5"/>
    </row>
    <row r="1352" spans="10:50" x14ac:dyDescent="0.2">
      <c r="J1352" s="5"/>
      <c r="K1352" s="5"/>
      <c r="AT1352" s="5"/>
      <c r="AU1352" s="5"/>
      <c r="AV1352" s="5"/>
      <c r="AW1352" s="5"/>
      <c r="AX1352" s="5"/>
    </row>
    <row r="1353" spans="10:50" x14ac:dyDescent="0.2">
      <c r="J1353" s="5"/>
      <c r="K1353" s="5"/>
      <c r="AT1353" s="5"/>
      <c r="AU1353" s="5"/>
      <c r="AV1353" s="5"/>
      <c r="AW1353" s="5"/>
      <c r="AX1353" s="5"/>
    </row>
    <row r="1354" spans="10:50" x14ac:dyDescent="0.2">
      <c r="J1354" s="5"/>
      <c r="K1354" s="5"/>
      <c r="AT1354" s="5"/>
      <c r="AU1354" s="5"/>
      <c r="AV1354" s="5"/>
      <c r="AW1354" s="5"/>
      <c r="AX1354" s="5"/>
    </row>
    <row r="1355" spans="10:50" x14ac:dyDescent="0.2">
      <c r="J1355" s="5"/>
      <c r="K1355" s="5"/>
      <c r="AT1355" s="5"/>
      <c r="AU1355" s="5"/>
      <c r="AV1355" s="5"/>
      <c r="AW1355" s="5"/>
      <c r="AX1355" s="5"/>
    </row>
    <row r="1356" spans="10:50" x14ac:dyDescent="0.2">
      <c r="J1356" s="5"/>
      <c r="K1356" s="5"/>
      <c r="AT1356" s="5"/>
      <c r="AU1356" s="5"/>
      <c r="AV1356" s="5"/>
      <c r="AW1356" s="5"/>
      <c r="AX1356" s="5"/>
    </row>
    <row r="1357" spans="10:50" x14ac:dyDescent="0.2">
      <c r="J1357" s="5"/>
      <c r="K1357" s="5"/>
      <c r="AT1357" s="5"/>
      <c r="AU1357" s="5"/>
      <c r="AV1357" s="5"/>
      <c r="AW1357" s="5"/>
      <c r="AX1357" s="5"/>
    </row>
    <row r="1358" spans="10:50" x14ac:dyDescent="0.2">
      <c r="J1358" s="5"/>
      <c r="K1358" s="5"/>
      <c r="AT1358" s="5"/>
      <c r="AU1358" s="5"/>
      <c r="AV1358" s="5"/>
      <c r="AW1358" s="5"/>
      <c r="AX1358" s="5"/>
    </row>
    <row r="1359" spans="10:50" x14ac:dyDescent="0.2">
      <c r="J1359" s="5"/>
      <c r="K1359" s="5"/>
      <c r="AT1359" s="5"/>
      <c r="AU1359" s="5"/>
      <c r="AV1359" s="5"/>
      <c r="AW1359" s="5"/>
      <c r="AX1359" s="5"/>
    </row>
    <row r="1360" spans="10:50" x14ac:dyDescent="0.2">
      <c r="J1360" s="5"/>
      <c r="K1360" s="5"/>
      <c r="AT1360" s="5"/>
      <c r="AU1360" s="5"/>
      <c r="AV1360" s="5"/>
      <c r="AW1360" s="5"/>
      <c r="AX1360" s="5"/>
    </row>
    <row r="1361" spans="10:50" x14ac:dyDescent="0.2">
      <c r="J1361" s="5"/>
      <c r="K1361" s="5"/>
      <c r="AT1361" s="5"/>
      <c r="AU1361" s="5"/>
      <c r="AV1361" s="5"/>
      <c r="AW1361" s="5"/>
      <c r="AX1361" s="5"/>
    </row>
    <row r="1362" spans="10:50" x14ac:dyDescent="0.2">
      <c r="J1362" s="5"/>
      <c r="K1362" s="5"/>
      <c r="AT1362" s="5"/>
      <c r="AU1362" s="5"/>
      <c r="AV1362" s="5"/>
      <c r="AW1362" s="5"/>
      <c r="AX1362" s="5"/>
    </row>
    <row r="1363" spans="10:50" x14ac:dyDescent="0.2">
      <c r="J1363" s="5"/>
      <c r="K1363" s="5"/>
      <c r="AT1363" s="5"/>
      <c r="AU1363" s="5"/>
      <c r="AV1363" s="5"/>
      <c r="AW1363" s="5"/>
      <c r="AX1363" s="5"/>
    </row>
    <row r="1364" spans="10:50" x14ac:dyDescent="0.2">
      <c r="J1364" s="5"/>
      <c r="K1364" s="5"/>
      <c r="AT1364" s="5"/>
      <c r="AU1364" s="5"/>
      <c r="AV1364" s="5"/>
      <c r="AW1364" s="5"/>
      <c r="AX1364" s="5"/>
    </row>
    <row r="1365" spans="10:50" x14ac:dyDescent="0.2">
      <c r="J1365" s="5"/>
      <c r="K1365" s="5"/>
      <c r="AT1365" s="5"/>
      <c r="AU1365" s="5"/>
      <c r="AV1365" s="5"/>
      <c r="AW1365" s="5"/>
      <c r="AX1365" s="5"/>
    </row>
    <row r="1366" spans="10:50" x14ac:dyDescent="0.2">
      <c r="J1366" s="5"/>
      <c r="K1366" s="5"/>
      <c r="AT1366" s="5"/>
      <c r="AU1366" s="5"/>
      <c r="AV1366" s="5"/>
      <c r="AW1366" s="5"/>
      <c r="AX1366" s="5"/>
    </row>
    <row r="1367" spans="10:50" x14ac:dyDescent="0.2">
      <c r="J1367" s="5"/>
      <c r="K1367" s="5"/>
      <c r="AT1367" s="5"/>
      <c r="AU1367" s="5"/>
      <c r="AV1367" s="5"/>
      <c r="AW1367" s="5"/>
      <c r="AX1367" s="5"/>
    </row>
    <row r="1368" spans="10:50" x14ac:dyDescent="0.2">
      <c r="J1368" s="5"/>
      <c r="K1368" s="5"/>
      <c r="AT1368" s="5"/>
      <c r="AU1368" s="5"/>
      <c r="AV1368" s="5"/>
      <c r="AW1368" s="5"/>
      <c r="AX1368" s="5"/>
    </row>
    <row r="1369" spans="10:50" x14ac:dyDescent="0.2">
      <c r="J1369" s="5"/>
      <c r="K1369" s="5"/>
      <c r="AT1369" s="5"/>
      <c r="AU1369" s="5"/>
      <c r="AV1369" s="5"/>
      <c r="AW1369" s="5"/>
      <c r="AX1369" s="5"/>
    </row>
    <row r="1370" spans="10:50" x14ac:dyDescent="0.2">
      <c r="J1370" s="5"/>
      <c r="K1370" s="5"/>
      <c r="AT1370" s="5"/>
      <c r="AU1370" s="5"/>
      <c r="AV1370" s="5"/>
      <c r="AW1370" s="5"/>
      <c r="AX1370" s="5"/>
    </row>
    <row r="1371" spans="10:50" x14ac:dyDescent="0.2">
      <c r="J1371" s="5"/>
      <c r="K1371" s="5"/>
      <c r="AT1371" s="5"/>
      <c r="AU1371" s="5"/>
      <c r="AV1371" s="5"/>
      <c r="AW1371" s="5"/>
      <c r="AX1371" s="5"/>
    </row>
    <row r="1372" spans="10:50" x14ac:dyDescent="0.2">
      <c r="J1372" s="5"/>
      <c r="K1372" s="5"/>
      <c r="AT1372" s="5"/>
      <c r="AU1372" s="5"/>
      <c r="AV1372" s="5"/>
      <c r="AW1372" s="5"/>
      <c r="AX1372" s="5"/>
    </row>
    <row r="1373" spans="10:50" x14ac:dyDescent="0.2">
      <c r="J1373" s="5"/>
      <c r="K1373" s="5"/>
      <c r="AT1373" s="5"/>
      <c r="AU1373" s="5"/>
      <c r="AV1373" s="5"/>
      <c r="AW1373" s="5"/>
      <c r="AX1373" s="5"/>
    </row>
    <row r="1374" spans="10:50" x14ac:dyDescent="0.2">
      <c r="J1374" s="5"/>
      <c r="K1374" s="5"/>
      <c r="AT1374" s="5"/>
      <c r="AU1374" s="5"/>
      <c r="AV1374" s="5"/>
      <c r="AW1374" s="5"/>
      <c r="AX1374" s="5"/>
    </row>
    <row r="1375" spans="10:50" x14ac:dyDescent="0.2">
      <c r="J1375" s="5"/>
      <c r="K1375" s="5"/>
      <c r="AT1375" s="5"/>
      <c r="AU1375" s="5"/>
      <c r="AV1375" s="5"/>
      <c r="AW1375" s="5"/>
      <c r="AX1375" s="5"/>
    </row>
    <row r="1376" spans="10:50" x14ac:dyDescent="0.2">
      <c r="J1376" s="5"/>
      <c r="K1376" s="5"/>
      <c r="AT1376" s="5"/>
      <c r="AU1376" s="5"/>
      <c r="AV1376" s="5"/>
      <c r="AW1376" s="5"/>
      <c r="AX1376" s="5"/>
    </row>
    <row r="1377" spans="8:50" x14ac:dyDescent="0.2">
      <c r="J1377" s="5"/>
      <c r="K1377" s="5"/>
      <c r="AT1377" s="5"/>
      <c r="AU1377" s="5"/>
      <c r="AV1377" s="5"/>
      <c r="AW1377" s="5"/>
      <c r="AX1377" s="5"/>
    </row>
    <row r="1378" spans="8:50" x14ac:dyDescent="0.2">
      <c r="J1378" s="5"/>
      <c r="K1378" s="5"/>
      <c r="AT1378" s="5"/>
      <c r="AU1378" s="5"/>
      <c r="AV1378" s="5"/>
      <c r="AW1378" s="5"/>
      <c r="AX1378" s="5"/>
    </row>
    <row r="1379" spans="8:50" x14ac:dyDescent="0.2">
      <c r="J1379" s="5"/>
      <c r="K1379" s="5"/>
      <c r="AT1379" s="5"/>
      <c r="AU1379" s="5"/>
      <c r="AV1379" s="5"/>
      <c r="AW1379" s="5"/>
      <c r="AX1379" s="5"/>
    </row>
    <row r="1380" spans="8:50" x14ac:dyDescent="0.2">
      <c r="J1380" s="5"/>
      <c r="K1380" s="5"/>
      <c r="AT1380" s="5"/>
      <c r="AU1380" s="5"/>
      <c r="AV1380" s="5"/>
      <c r="AW1380" s="5"/>
      <c r="AX1380" s="5"/>
    </row>
    <row r="1381" spans="8:50" x14ac:dyDescent="0.2">
      <c r="H1381" s="5"/>
      <c r="J1381" s="5"/>
      <c r="K1381" s="5"/>
      <c r="AT1381" s="5"/>
      <c r="AU1381" s="5"/>
      <c r="AV1381" s="5"/>
      <c r="AW1381" s="5"/>
      <c r="AX1381" s="5"/>
    </row>
    <row r="1382" spans="8:50" x14ac:dyDescent="0.2">
      <c r="H1382" s="5"/>
      <c r="J1382" s="5"/>
      <c r="K1382" s="5"/>
      <c r="AT1382" s="5"/>
      <c r="AU1382" s="5"/>
      <c r="AV1382" s="5"/>
      <c r="AW1382" s="5"/>
      <c r="AX1382" s="5"/>
    </row>
    <row r="1383" spans="8:50" x14ac:dyDescent="0.2">
      <c r="H1383" s="5"/>
      <c r="J1383" s="5"/>
      <c r="K1383" s="5"/>
      <c r="AT1383" s="5"/>
      <c r="AU1383" s="5"/>
      <c r="AV1383" s="5"/>
      <c r="AW1383" s="5"/>
      <c r="AX1383" s="5"/>
    </row>
    <row r="1384" spans="8:50" x14ac:dyDescent="0.2">
      <c r="H1384" s="5"/>
      <c r="J1384" s="5"/>
      <c r="K1384" s="5"/>
      <c r="AT1384" s="5"/>
      <c r="AU1384" s="5"/>
      <c r="AV1384" s="5"/>
      <c r="AW1384" s="5"/>
      <c r="AX1384" s="5"/>
    </row>
    <row r="1385" spans="8:50" x14ac:dyDescent="0.2">
      <c r="H1385" s="5"/>
      <c r="J1385" s="5"/>
      <c r="K1385" s="5"/>
      <c r="AT1385" s="5"/>
      <c r="AU1385" s="5"/>
      <c r="AV1385" s="5"/>
      <c r="AW1385" s="5"/>
      <c r="AX1385" s="5"/>
    </row>
    <row r="1386" spans="8:50" x14ac:dyDescent="0.2">
      <c r="H1386" s="5"/>
      <c r="J1386" s="5"/>
      <c r="K1386" s="5"/>
      <c r="AT1386" s="5"/>
      <c r="AU1386" s="5"/>
      <c r="AV1386" s="5"/>
      <c r="AW1386" s="5"/>
      <c r="AX1386" s="5"/>
    </row>
    <row r="1387" spans="8:50" x14ac:dyDescent="0.2">
      <c r="H1387" s="5"/>
      <c r="I1387" s="5"/>
      <c r="J1387" s="5"/>
      <c r="K1387" s="5"/>
      <c r="AT1387" s="5"/>
      <c r="AU1387" s="5"/>
      <c r="AV1387" s="5"/>
      <c r="AW1387" s="5"/>
      <c r="AX1387" s="5"/>
    </row>
    <row r="1388" spans="8:50" x14ac:dyDescent="0.2">
      <c r="H1388" s="5"/>
      <c r="I1388" s="5"/>
      <c r="J1388" s="5"/>
      <c r="K1388" s="5"/>
      <c r="AT1388" s="5"/>
      <c r="AU1388" s="5"/>
      <c r="AV1388" s="5"/>
      <c r="AW1388" s="5"/>
      <c r="AX1388" s="5"/>
    </row>
    <row r="1389" spans="8:50" x14ac:dyDescent="0.2">
      <c r="H1389" s="5"/>
      <c r="I1389" s="5"/>
      <c r="J1389" s="5"/>
      <c r="K1389" s="5"/>
      <c r="AT1389" s="5"/>
      <c r="AU1389" s="5"/>
      <c r="AV1389" s="5"/>
      <c r="AW1389" s="5"/>
      <c r="AX1389" s="5"/>
    </row>
    <row r="1390" spans="8:50" x14ac:dyDescent="0.2">
      <c r="H1390" s="5"/>
      <c r="I1390" s="5"/>
      <c r="J1390" s="5"/>
      <c r="K1390" s="5"/>
      <c r="AT1390" s="5"/>
      <c r="AU1390" s="5"/>
      <c r="AV1390" s="5"/>
      <c r="AW1390" s="5"/>
      <c r="AX1390" s="5"/>
    </row>
    <row r="1391" spans="8:50" x14ac:dyDescent="0.2">
      <c r="H1391" s="5"/>
      <c r="I1391" s="5"/>
      <c r="J1391" s="5"/>
      <c r="K1391" s="5"/>
      <c r="AT1391" s="5"/>
      <c r="AU1391" s="5"/>
      <c r="AV1391" s="5"/>
      <c r="AW1391" s="5"/>
      <c r="AX1391" s="5"/>
    </row>
    <row r="1392" spans="8:50" x14ac:dyDescent="0.2">
      <c r="H1392" s="5"/>
      <c r="I1392" s="5"/>
      <c r="J1392" s="5"/>
      <c r="K1392" s="5"/>
      <c r="AT1392" s="5"/>
      <c r="AU1392" s="5"/>
      <c r="AV1392" s="5"/>
      <c r="AW1392" s="5"/>
      <c r="AX1392" s="5"/>
    </row>
    <row r="1393" spans="8:50" x14ac:dyDescent="0.2">
      <c r="H1393" s="5"/>
      <c r="I1393" s="5"/>
      <c r="J1393" s="5"/>
      <c r="K1393" s="5"/>
      <c r="AT1393" s="5"/>
      <c r="AU1393" s="5"/>
      <c r="AV1393" s="5"/>
      <c r="AW1393" s="5"/>
      <c r="AX1393" s="5"/>
    </row>
    <row r="1394" spans="8:50" x14ac:dyDescent="0.2">
      <c r="H1394" s="5"/>
      <c r="I1394" s="5"/>
      <c r="J1394" s="5"/>
      <c r="K1394" s="5"/>
      <c r="AT1394" s="5"/>
      <c r="AU1394" s="5"/>
      <c r="AV1394" s="5"/>
      <c r="AW1394" s="5"/>
      <c r="AX1394" s="5"/>
    </row>
    <row r="1395" spans="8:50" x14ac:dyDescent="0.2">
      <c r="H1395" s="5"/>
      <c r="I1395" s="5"/>
      <c r="J1395" s="5"/>
      <c r="K1395" s="5"/>
      <c r="AT1395" s="5"/>
      <c r="AU1395" s="5"/>
      <c r="AV1395" s="5"/>
      <c r="AW1395" s="5"/>
      <c r="AX1395" s="5"/>
    </row>
    <row r="1396" spans="8:50" x14ac:dyDescent="0.2">
      <c r="H1396" s="5"/>
      <c r="I1396" s="5"/>
      <c r="J1396" s="5"/>
      <c r="K1396" s="5"/>
      <c r="AT1396" s="5"/>
      <c r="AU1396" s="5"/>
      <c r="AV1396" s="5"/>
      <c r="AW1396" s="5"/>
      <c r="AX1396" s="5"/>
    </row>
    <row r="1397" spans="8:50" x14ac:dyDescent="0.2">
      <c r="H1397" s="5"/>
      <c r="I1397" s="5"/>
      <c r="J1397" s="5"/>
      <c r="K1397" s="5"/>
      <c r="AT1397" s="5"/>
      <c r="AU1397" s="5"/>
      <c r="AV1397" s="5"/>
      <c r="AW1397" s="5"/>
      <c r="AX1397" s="5"/>
    </row>
    <row r="1398" spans="8:50" x14ac:dyDescent="0.2">
      <c r="H1398" s="5"/>
      <c r="I1398" s="5"/>
      <c r="J1398" s="5"/>
      <c r="K1398" s="5"/>
      <c r="AT1398" s="5"/>
      <c r="AU1398" s="5"/>
      <c r="AV1398" s="5"/>
      <c r="AW1398" s="5"/>
      <c r="AX1398" s="5"/>
    </row>
    <row r="1399" spans="8:50" x14ac:dyDescent="0.2">
      <c r="H1399" s="5"/>
      <c r="I1399" s="5"/>
      <c r="J1399" s="5"/>
      <c r="K1399" s="5"/>
      <c r="AT1399" s="5"/>
      <c r="AU1399" s="5"/>
      <c r="AV1399" s="5"/>
      <c r="AW1399" s="5"/>
      <c r="AX1399" s="5"/>
    </row>
    <row r="1400" spans="8:50" x14ac:dyDescent="0.2">
      <c r="H1400" s="5"/>
      <c r="I1400" s="5"/>
      <c r="J1400" s="5"/>
      <c r="K1400" s="5"/>
      <c r="AT1400" s="5"/>
      <c r="AU1400" s="5"/>
      <c r="AV1400" s="5"/>
      <c r="AW1400" s="5"/>
      <c r="AX1400" s="5"/>
    </row>
    <row r="1401" spans="8:50" x14ac:dyDescent="0.2">
      <c r="H1401" s="5"/>
      <c r="I1401" s="5"/>
      <c r="J1401" s="5"/>
      <c r="K1401" s="5"/>
      <c r="AT1401" s="5"/>
      <c r="AU1401" s="5"/>
      <c r="AV1401" s="5"/>
      <c r="AW1401" s="5"/>
      <c r="AX1401" s="5"/>
    </row>
    <row r="1402" spans="8:50" x14ac:dyDescent="0.2">
      <c r="H1402" s="5"/>
      <c r="I1402" s="5"/>
      <c r="J1402" s="5"/>
      <c r="K1402" s="5"/>
      <c r="AT1402" s="5"/>
      <c r="AU1402" s="5"/>
      <c r="AV1402" s="5"/>
      <c r="AW1402" s="5"/>
      <c r="AX1402" s="5"/>
    </row>
    <row r="1403" spans="8:50" x14ac:dyDescent="0.2">
      <c r="H1403" s="5"/>
      <c r="I1403" s="5"/>
      <c r="J1403" s="5"/>
      <c r="K1403" s="5"/>
      <c r="AT1403" s="5"/>
      <c r="AU1403" s="5"/>
      <c r="AV1403" s="5"/>
      <c r="AW1403" s="5"/>
      <c r="AX1403" s="5"/>
    </row>
    <row r="1404" spans="8:50" x14ac:dyDescent="0.2">
      <c r="H1404" s="5"/>
      <c r="I1404" s="5"/>
      <c r="J1404" s="5"/>
      <c r="K1404" s="5"/>
      <c r="AT1404" s="5"/>
      <c r="AU1404" s="5"/>
      <c r="AV1404" s="5"/>
      <c r="AW1404" s="5"/>
      <c r="AX1404" s="5"/>
    </row>
    <row r="1405" spans="8:50" x14ac:dyDescent="0.2">
      <c r="H1405" s="5"/>
      <c r="I1405" s="5"/>
      <c r="J1405" s="5"/>
      <c r="K1405" s="5"/>
      <c r="AT1405" s="5"/>
      <c r="AU1405" s="5"/>
      <c r="AV1405" s="5"/>
      <c r="AW1405" s="5"/>
      <c r="AX1405" s="5"/>
    </row>
    <row r="1406" spans="8:50" x14ac:dyDescent="0.2">
      <c r="H1406" s="5"/>
      <c r="I1406" s="5"/>
      <c r="J1406" s="5"/>
      <c r="K1406" s="5"/>
      <c r="AT1406" s="5"/>
      <c r="AU1406" s="5"/>
      <c r="AV1406" s="5"/>
      <c r="AW1406" s="5"/>
      <c r="AX1406" s="5"/>
    </row>
    <row r="1407" spans="8:50" x14ac:dyDescent="0.2">
      <c r="H1407" s="5"/>
      <c r="I1407" s="5"/>
      <c r="J1407" s="5"/>
      <c r="K1407" s="5"/>
      <c r="AT1407" s="5"/>
      <c r="AU1407" s="5"/>
      <c r="AV1407" s="5"/>
      <c r="AW1407" s="5"/>
      <c r="AX1407" s="5"/>
    </row>
    <row r="1408" spans="8:50" x14ac:dyDescent="0.2">
      <c r="H1408" s="5"/>
      <c r="I1408" s="5"/>
      <c r="J1408" s="5"/>
      <c r="K1408" s="5"/>
      <c r="AT1408" s="5"/>
      <c r="AU1408" s="5"/>
      <c r="AV1408" s="5"/>
      <c r="AW1408" s="5"/>
      <c r="AX1408" s="5"/>
    </row>
    <row r="1409" spans="8:50" x14ac:dyDescent="0.2">
      <c r="H1409" s="5"/>
      <c r="I1409" s="5"/>
      <c r="J1409" s="5"/>
      <c r="K1409" s="5"/>
      <c r="AT1409" s="5"/>
      <c r="AU1409" s="5"/>
      <c r="AV1409" s="5"/>
      <c r="AW1409" s="5"/>
      <c r="AX1409" s="5"/>
    </row>
    <row r="1410" spans="8:50" x14ac:dyDescent="0.2">
      <c r="H1410" s="5"/>
      <c r="I1410" s="5"/>
      <c r="J1410" s="5"/>
      <c r="K1410" s="5"/>
      <c r="AT1410" s="5"/>
      <c r="AU1410" s="5"/>
      <c r="AV1410" s="5"/>
      <c r="AW1410" s="5"/>
      <c r="AX1410" s="5"/>
    </row>
    <row r="1411" spans="8:50" x14ac:dyDescent="0.2">
      <c r="H1411" s="5"/>
      <c r="I1411" s="5"/>
      <c r="J1411" s="5"/>
      <c r="K1411" s="5"/>
      <c r="AT1411" s="5"/>
      <c r="AU1411" s="5"/>
      <c r="AV1411" s="5"/>
      <c r="AW1411" s="5"/>
      <c r="AX1411" s="5"/>
    </row>
    <row r="1412" spans="8:50" x14ac:dyDescent="0.2">
      <c r="H1412" s="5"/>
      <c r="I1412" s="5"/>
      <c r="J1412" s="5"/>
      <c r="K1412" s="5"/>
      <c r="AT1412" s="5"/>
      <c r="AU1412" s="5"/>
      <c r="AV1412" s="5"/>
      <c r="AW1412" s="5"/>
      <c r="AX1412" s="5"/>
    </row>
    <row r="1413" spans="8:50" x14ac:dyDescent="0.2">
      <c r="H1413" s="5"/>
      <c r="I1413" s="5"/>
      <c r="J1413" s="5"/>
      <c r="K1413" s="5"/>
      <c r="AT1413" s="5"/>
      <c r="AU1413" s="5"/>
      <c r="AV1413" s="5"/>
      <c r="AW1413" s="5"/>
      <c r="AX1413" s="5"/>
    </row>
    <row r="1414" spans="8:50" x14ac:dyDescent="0.2">
      <c r="H1414" s="5"/>
      <c r="I1414" s="5"/>
      <c r="J1414" s="5"/>
      <c r="K1414" s="5"/>
      <c r="AT1414" s="5"/>
      <c r="AU1414" s="5"/>
      <c r="AV1414" s="5"/>
      <c r="AW1414" s="5"/>
      <c r="AX1414" s="5"/>
    </row>
    <row r="1415" spans="8:50" x14ac:dyDescent="0.2">
      <c r="H1415" s="5"/>
      <c r="I1415" s="5"/>
      <c r="J1415" s="5"/>
      <c r="K1415" s="5"/>
      <c r="AT1415" s="5"/>
      <c r="AU1415" s="5"/>
      <c r="AV1415" s="5"/>
      <c r="AW1415" s="5"/>
      <c r="AX1415" s="5"/>
    </row>
    <row r="1416" spans="8:50" x14ac:dyDescent="0.2">
      <c r="H1416" s="5"/>
      <c r="I1416" s="5"/>
      <c r="J1416" s="5"/>
      <c r="K1416" s="5"/>
      <c r="AT1416" s="5"/>
      <c r="AU1416" s="5"/>
      <c r="AV1416" s="5"/>
      <c r="AW1416" s="5"/>
      <c r="AX1416" s="5"/>
    </row>
    <row r="1417" spans="8:50" x14ac:dyDescent="0.2">
      <c r="H1417" s="5"/>
      <c r="I1417" s="5"/>
      <c r="J1417" s="5"/>
      <c r="K1417" s="5"/>
      <c r="AT1417" s="5"/>
      <c r="AU1417" s="5"/>
      <c r="AV1417" s="5"/>
      <c r="AW1417" s="5"/>
      <c r="AX1417" s="5"/>
    </row>
    <row r="1418" spans="8:50" x14ac:dyDescent="0.2">
      <c r="H1418" s="5"/>
      <c r="I1418" s="5"/>
      <c r="J1418" s="5"/>
      <c r="K1418" s="5"/>
      <c r="AT1418" s="5"/>
      <c r="AU1418" s="5"/>
      <c r="AV1418" s="5"/>
      <c r="AW1418" s="5"/>
      <c r="AX1418" s="5"/>
    </row>
    <row r="1419" spans="8:50" x14ac:dyDescent="0.2">
      <c r="H1419" s="5"/>
      <c r="I1419" s="5"/>
      <c r="J1419" s="5"/>
      <c r="K1419" s="5"/>
      <c r="AT1419" s="5"/>
      <c r="AU1419" s="5"/>
      <c r="AV1419" s="5"/>
      <c r="AW1419" s="5"/>
      <c r="AX1419" s="5"/>
    </row>
    <row r="1420" spans="8:50" x14ac:dyDescent="0.2">
      <c r="H1420" s="5"/>
      <c r="I1420" s="5"/>
      <c r="J1420" s="5"/>
      <c r="K1420" s="5"/>
      <c r="AT1420" s="5"/>
      <c r="AU1420" s="5"/>
      <c r="AV1420" s="5"/>
      <c r="AW1420" s="5"/>
      <c r="AX1420" s="5"/>
    </row>
    <row r="1421" spans="8:50" x14ac:dyDescent="0.2">
      <c r="H1421" s="5"/>
      <c r="I1421" s="5"/>
      <c r="J1421" s="5"/>
      <c r="K1421" s="5"/>
      <c r="AT1421" s="5"/>
      <c r="AU1421" s="5"/>
      <c r="AV1421" s="5"/>
      <c r="AW1421" s="5"/>
      <c r="AX1421" s="5"/>
    </row>
    <row r="1422" spans="8:50" x14ac:dyDescent="0.2">
      <c r="H1422" s="5"/>
      <c r="I1422" s="5"/>
      <c r="J1422" s="5"/>
      <c r="K1422" s="5"/>
      <c r="AT1422" s="5"/>
      <c r="AU1422" s="5"/>
      <c r="AV1422" s="5"/>
      <c r="AW1422" s="5"/>
      <c r="AX1422" s="5"/>
    </row>
    <row r="1423" spans="8:50" x14ac:dyDescent="0.2">
      <c r="H1423" s="5"/>
      <c r="I1423" s="5"/>
      <c r="J1423" s="5"/>
      <c r="K1423" s="5"/>
      <c r="AT1423" s="5"/>
      <c r="AU1423" s="5"/>
      <c r="AV1423" s="5"/>
      <c r="AW1423" s="5"/>
      <c r="AX1423" s="5"/>
    </row>
    <row r="1424" spans="8:50" x14ac:dyDescent="0.2">
      <c r="H1424" s="5"/>
      <c r="I1424" s="5"/>
      <c r="J1424" s="5"/>
      <c r="K1424" s="5"/>
      <c r="AT1424" s="5"/>
      <c r="AU1424" s="5"/>
      <c r="AV1424" s="5"/>
      <c r="AW1424" s="5"/>
      <c r="AX1424" s="5"/>
    </row>
    <row r="1425" spans="8:50" x14ac:dyDescent="0.2">
      <c r="H1425" s="5"/>
      <c r="I1425" s="5"/>
      <c r="J1425" s="5"/>
      <c r="K1425" s="5"/>
      <c r="AT1425" s="5"/>
      <c r="AU1425" s="5"/>
      <c r="AV1425" s="5"/>
      <c r="AW1425" s="5"/>
      <c r="AX1425" s="5"/>
    </row>
    <row r="1426" spans="8:50" x14ac:dyDescent="0.2">
      <c r="H1426" s="5"/>
      <c r="I1426" s="5"/>
      <c r="J1426" s="5"/>
      <c r="K1426" s="5"/>
      <c r="AT1426" s="5"/>
      <c r="AU1426" s="5"/>
      <c r="AV1426" s="5"/>
      <c r="AW1426" s="5"/>
      <c r="AX1426" s="5"/>
    </row>
    <row r="1427" spans="8:50" x14ac:dyDescent="0.2">
      <c r="H1427" s="5"/>
      <c r="I1427" s="5"/>
      <c r="J1427" s="5"/>
      <c r="K1427" s="5"/>
      <c r="AT1427" s="5"/>
      <c r="AU1427" s="5"/>
      <c r="AV1427" s="5"/>
      <c r="AW1427" s="5"/>
      <c r="AX1427" s="5"/>
    </row>
    <row r="1428" spans="8:50" x14ac:dyDescent="0.2">
      <c r="H1428" s="5"/>
      <c r="I1428" s="5"/>
      <c r="J1428" s="5"/>
      <c r="K1428" s="5"/>
      <c r="AT1428" s="5"/>
      <c r="AU1428" s="5"/>
      <c r="AV1428" s="5"/>
      <c r="AW1428" s="5"/>
      <c r="AX1428" s="5"/>
    </row>
    <row r="1429" spans="8:50" x14ac:dyDescent="0.2">
      <c r="H1429" s="5"/>
      <c r="I1429" s="5"/>
      <c r="J1429" s="5"/>
      <c r="K1429" s="5"/>
      <c r="AT1429" s="5"/>
      <c r="AU1429" s="5"/>
      <c r="AV1429" s="5"/>
      <c r="AW1429" s="5"/>
      <c r="AX1429" s="5"/>
    </row>
    <row r="1430" spans="8:50" x14ac:dyDescent="0.2">
      <c r="H1430" s="5"/>
      <c r="I1430" s="5"/>
      <c r="J1430" s="5"/>
      <c r="K1430" s="5"/>
      <c r="AT1430" s="5"/>
      <c r="AU1430" s="5"/>
      <c r="AV1430" s="5"/>
      <c r="AW1430" s="5"/>
      <c r="AX1430" s="5"/>
    </row>
    <row r="1431" spans="8:50" x14ac:dyDescent="0.2">
      <c r="H1431" s="5"/>
      <c r="I1431" s="5"/>
      <c r="J1431" s="5"/>
      <c r="K1431" s="5"/>
      <c r="AT1431" s="5"/>
      <c r="AU1431" s="5"/>
      <c r="AV1431" s="5"/>
      <c r="AW1431" s="5"/>
      <c r="AX1431" s="5"/>
    </row>
    <row r="1432" spans="8:50" x14ac:dyDescent="0.2">
      <c r="H1432" s="5"/>
      <c r="I1432" s="5"/>
      <c r="J1432" s="5"/>
      <c r="K1432" s="5"/>
      <c r="AT1432" s="5"/>
      <c r="AU1432" s="5"/>
      <c r="AV1432" s="5"/>
      <c r="AW1432" s="5"/>
      <c r="AX1432" s="5"/>
    </row>
    <row r="1433" spans="8:50" x14ac:dyDescent="0.2">
      <c r="H1433" s="5"/>
      <c r="I1433" s="5"/>
      <c r="J1433" s="5"/>
      <c r="K1433" s="5"/>
      <c r="AT1433" s="5"/>
      <c r="AU1433" s="5"/>
      <c r="AV1433" s="5"/>
      <c r="AW1433" s="5"/>
      <c r="AX1433" s="5"/>
    </row>
    <row r="1434" spans="8:50" x14ac:dyDescent="0.2">
      <c r="H1434" s="5"/>
      <c r="I1434" s="5"/>
      <c r="J1434" s="5"/>
      <c r="K1434" s="5"/>
      <c r="AT1434" s="5"/>
      <c r="AU1434" s="5"/>
      <c r="AV1434" s="5"/>
      <c r="AW1434" s="5"/>
      <c r="AX1434" s="5"/>
    </row>
    <row r="1435" spans="8:50" x14ac:dyDescent="0.2">
      <c r="H1435" s="5"/>
      <c r="I1435" s="5"/>
      <c r="J1435" s="5"/>
      <c r="K1435" s="5"/>
      <c r="AT1435" s="5"/>
      <c r="AU1435" s="5"/>
      <c r="AV1435" s="5"/>
      <c r="AW1435" s="5"/>
      <c r="AX1435" s="5"/>
    </row>
    <row r="1436" spans="8:50" x14ac:dyDescent="0.2">
      <c r="H1436" s="5"/>
      <c r="I1436" s="5"/>
      <c r="J1436" s="5"/>
      <c r="K1436" s="5"/>
      <c r="AT1436" s="5"/>
      <c r="AU1436" s="5"/>
      <c r="AV1436" s="5"/>
      <c r="AW1436" s="5"/>
      <c r="AX1436" s="5"/>
    </row>
    <row r="1437" spans="8:50" x14ac:dyDescent="0.2">
      <c r="H1437" s="5"/>
      <c r="I1437" s="5"/>
      <c r="J1437" s="5"/>
      <c r="K1437" s="5"/>
      <c r="AT1437" s="5"/>
      <c r="AU1437" s="5"/>
      <c r="AV1437" s="5"/>
      <c r="AW1437" s="5"/>
      <c r="AX1437" s="5"/>
    </row>
    <row r="1438" spans="8:50" x14ac:dyDescent="0.2">
      <c r="H1438" s="5"/>
      <c r="I1438" s="5"/>
      <c r="J1438" s="5"/>
      <c r="K1438" s="5"/>
      <c r="AT1438" s="5"/>
      <c r="AU1438" s="5"/>
      <c r="AV1438" s="5"/>
      <c r="AW1438" s="5"/>
      <c r="AX1438" s="5"/>
    </row>
    <row r="1439" spans="8:50" x14ac:dyDescent="0.2">
      <c r="H1439" s="5"/>
      <c r="I1439" s="5"/>
      <c r="J1439" s="5"/>
      <c r="K1439" s="5"/>
      <c r="AT1439" s="5"/>
      <c r="AU1439" s="5"/>
      <c r="AV1439" s="5"/>
      <c r="AW1439" s="5"/>
      <c r="AX1439" s="5"/>
    </row>
    <row r="1440" spans="8:50" x14ac:dyDescent="0.2">
      <c r="H1440" s="5"/>
      <c r="I1440" s="5"/>
      <c r="J1440" s="5"/>
      <c r="K1440" s="5"/>
      <c r="AT1440" s="5"/>
      <c r="AU1440" s="5"/>
      <c r="AV1440" s="5"/>
      <c r="AW1440" s="5"/>
      <c r="AX1440" s="5"/>
    </row>
    <row r="1441" spans="8:50" x14ac:dyDescent="0.2">
      <c r="H1441" s="5"/>
      <c r="I1441" s="5"/>
      <c r="J1441" s="5"/>
      <c r="K1441" s="5"/>
      <c r="AT1441" s="5"/>
      <c r="AU1441" s="5"/>
      <c r="AV1441" s="5"/>
      <c r="AW1441" s="5"/>
      <c r="AX1441" s="5"/>
    </row>
    <row r="1442" spans="8:50" x14ac:dyDescent="0.2">
      <c r="H1442" s="5"/>
      <c r="I1442" s="5"/>
      <c r="J1442" s="5"/>
      <c r="K1442" s="5"/>
      <c r="AT1442" s="5"/>
      <c r="AU1442" s="5"/>
      <c r="AV1442" s="5"/>
      <c r="AW1442" s="5"/>
      <c r="AX1442" s="5"/>
    </row>
    <row r="1443" spans="8:50" x14ac:dyDescent="0.2">
      <c r="H1443" s="5"/>
      <c r="I1443" s="5"/>
      <c r="J1443" s="5"/>
      <c r="K1443" s="5"/>
      <c r="AT1443" s="5"/>
      <c r="AU1443" s="5"/>
      <c r="AV1443" s="5"/>
      <c r="AW1443" s="5"/>
      <c r="AX1443" s="5"/>
    </row>
    <row r="1444" spans="8:50" x14ac:dyDescent="0.2">
      <c r="H1444" s="5"/>
      <c r="I1444" s="5"/>
      <c r="J1444" s="5"/>
      <c r="K1444" s="5"/>
      <c r="AT1444" s="5"/>
      <c r="AU1444" s="5"/>
      <c r="AV1444" s="5"/>
      <c r="AW1444" s="5"/>
      <c r="AX1444" s="5"/>
    </row>
    <row r="1445" spans="8:50" x14ac:dyDescent="0.2">
      <c r="H1445" s="5"/>
      <c r="I1445" s="5"/>
      <c r="J1445" s="5"/>
      <c r="K1445" s="5"/>
      <c r="AT1445" s="5"/>
      <c r="AU1445" s="5"/>
      <c r="AV1445" s="5"/>
      <c r="AW1445" s="5"/>
      <c r="AX1445" s="5"/>
    </row>
    <row r="1446" spans="8:50" x14ac:dyDescent="0.2">
      <c r="H1446" s="5"/>
      <c r="I1446" s="5"/>
      <c r="J1446" s="5"/>
      <c r="K1446" s="5"/>
      <c r="AT1446" s="5"/>
      <c r="AU1446" s="5"/>
      <c r="AV1446" s="5"/>
      <c r="AW1446" s="5"/>
      <c r="AX1446" s="5"/>
    </row>
    <row r="1447" spans="8:50" x14ac:dyDescent="0.2">
      <c r="H1447" s="5"/>
      <c r="I1447" s="5"/>
      <c r="J1447" s="5"/>
      <c r="K1447" s="5"/>
      <c r="AT1447" s="5"/>
      <c r="AU1447" s="5"/>
      <c r="AV1447" s="5"/>
      <c r="AW1447" s="5"/>
      <c r="AX1447" s="5"/>
    </row>
    <row r="1448" spans="8:50" x14ac:dyDescent="0.2">
      <c r="H1448" s="5"/>
      <c r="I1448" s="5"/>
      <c r="J1448" s="5"/>
      <c r="K1448" s="5"/>
      <c r="AT1448" s="5"/>
      <c r="AU1448" s="5"/>
      <c r="AV1448" s="5"/>
      <c r="AW1448" s="5"/>
      <c r="AX1448" s="5"/>
    </row>
    <row r="1449" spans="8:50" x14ac:dyDescent="0.2">
      <c r="H1449" s="5"/>
      <c r="I1449" s="5"/>
      <c r="J1449" s="5"/>
      <c r="K1449" s="5"/>
      <c r="AT1449" s="5"/>
      <c r="AU1449" s="5"/>
      <c r="AV1449" s="5"/>
      <c r="AW1449" s="5"/>
      <c r="AX1449" s="5"/>
    </row>
    <row r="1450" spans="8:50" x14ac:dyDescent="0.2">
      <c r="H1450" s="5"/>
      <c r="I1450" s="5"/>
      <c r="J1450" s="5"/>
      <c r="K1450" s="5"/>
      <c r="AT1450" s="5"/>
      <c r="AU1450" s="5"/>
      <c r="AV1450" s="5"/>
      <c r="AW1450" s="5"/>
      <c r="AX1450" s="5"/>
    </row>
    <row r="1451" spans="8:50" x14ac:dyDescent="0.2">
      <c r="H1451" s="5"/>
      <c r="I1451" s="5"/>
      <c r="J1451" s="5"/>
      <c r="K1451" s="5"/>
      <c r="AT1451" s="5"/>
      <c r="AU1451" s="5"/>
      <c r="AV1451" s="5"/>
      <c r="AW1451" s="5"/>
      <c r="AX1451" s="5"/>
    </row>
    <row r="1452" spans="8:50" x14ac:dyDescent="0.2">
      <c r="H1452" s="5"/>
      <c r="I1452" s="5"/>
      <c r="J1452" s="5"/>
      <c r="K1452" s="5"/>
      <c r="AT1452" s="5"/>
      <c r="AU1452" s="5"/>
      <c r="AV1452" s="5"/>
      <c r="AW1452" s="5"/>
      <c r="AX1452" s="5"/>
    </row>
    <row r="1453" spans="8:50" x14ac:dyDescent="0.2">
      <c r="H1453" s="5"/>
      <c r="I1453" s="5"/>
      <c r="J1453" s="5"/>
      <c r="K1453" s="5"/>
      <c r="AT1453" s="5"/>
      <c r="AU1453" s="5"/>
      <c r="AV1453" s="5"/>
      <c r="AW1453" s="5"/>
      <c r="AX1453" s="5"/>
    </row>
    <row r="1454" spans="8:50" x14ac:dyDescent="0.2">
      <c r="H1454" s="5"/>
      <c r="I1454" s="5"/>
      <c r="J1454" s="5"/>
      <c r="K1454" s="5"/>
      <c r="AT1454" s="5"/>
      <c r="AU1454" s="5"/>
      <c r="AV1454" s="5"/>
      <c r="AW1454" s="5"/>
      <c r="AX1454" s="5"/>
    </row>
    <row r="1455" spans="8:50" x14ac:dyDescent="0.2">
      <c r="H1455" s="5"/>
      <c r="I1455" s="5"/>
      <c r="J1455" s="5"/>
      <c r="K1455" s="5"/>
      <c r="AT1455" s="5"/>
      <c r="AU1455" s="5"/>
      <c r="AV1455" s="5"/>
      <c r="AW1455" s="5"/>
      <c r="AX1455" s="5"/>
    </row>
    <row r="1456" spans="8:50" x14ac:dyDescent="0.2">
      <c r="H1456" s="5"/>
      <c r="I1456" s="5"/>
      <c r="J1456" s="5"/>
      <c r="K1456" s="5"/>
      <c r="AT1456" s="5"/>
      <c r="AU1456" s="5"/>
      <c r="AV1456" s="5"/>
      <c r="AW1456" s="5"/>
      <c r="AX1456" s="5"/>
    </row>
    <row r="1457" spans="8:50" x14ac:dyDescent="0.2">
      <c r="H1457" s="5"/>
      <c r="I1457" s="5"/>
      <c r="J1457" s="5"/>
      <c r="K1457" s="5"/>
      <c r="AT1457" s="5"/>
      <c r="AU1457" s="5"/>
      <c r="AV1457" s="5"/>
      <c r="AW1457" s="5"/>
      <c r="AX1457" s="5"/>
    </row>
    <row r="1458" spans="8:50" x14ac:dyDescent="0.2">
      <c r="H1458" s="5"/>
      <c r="I1458" s="5"/>
      <c r="J1458" s="5"/>
      <c r="K1458" s="5"/>
      <c r="AT1458" s="5"/>
      <c r="AU1458" s="5"/>
      <c r="AV1458" s="5"/>
      <c r="AW1458" s="5"/>
      <c r="AX1458" s="5"/>
    </row>
    <row r="1459" spans="8:50" x14ac:dyDescent="0.2">
      <c r="H1459" s="5"/>
      <c r="I1459" s="5"/>
      <c r="J1459" s="5"/>
      <c r="K1459" s="5"/>
      <c r="AT1459" s="5"/>
      <c r="AU1459" s="5"/>
      <c r="AV1459" s="5"/>
      <c r="AW1459" s="5"/>
      <c r="AX1459" s="5"/>
    </row>
    <row r="1460" spans="8:50" x14ac:dyDescent="0.2">
      <c r="H1460" s="5"/>
      <c r="I1460" s="5"/>
      <c r="J1460" s="5"/>
      <c r="K1460" s="5"/>
      <c r="AT1460" s="5"/>
      <c r="AU1460" s="5"/>
      <c r="AV1460" s="5"/>
      <c r="AW1460" s="5"/>
      <c r="AX1460" s="5"/>
    </row>
    <row r="1461" spans="8:50" x14ac:dyDescent="0.2">
      <c r="H1461" s="5"/>
      <c r="I1461" s="5"/>
      <c r="J1461" s="5"/>
      <c r="K1461" s="5"/>
      <c r="AT1461" s="5"/>
      <c r="AU1461" s="5"/>
      <c r="AV1461" s="5"/>
      <c r="AW1461" s="5"/>
      <c r="AX1461" s="5"/>
    </row>
    <row r="1462" spans="8:50" x14ac:dyDescent="0.2">
      <c r="H1462" s="5"/>
      <c r="I1462" s="5"/>
      <c r="J1462" s="5"/>
      <c r="K1462" s="5"/>
      <c r="AT1462" s="5"/>
      <c r="AU1462" s="5"/>
      <c r="AV1462" s="5"/>
      <c r="AW1462" s="5"/>
      <c r="AX1462" s="5"/>
    </row>
    <row r="1463" spans="8:50" x14ac:dyDescent="0.2">
      <c r="H1463" s="5"/>
      <c r="I1463" s="5"/>
      <c r="J1463" s="5"/>
      <c r="K1463" s="5"/>
      <c r="AT1463" s="5"/>
      <c r="AU1463" s="5"/>
      <c r="AV1463" s="5"/>
      <c r="AW1463" s="5"/>
      <c r="AX1463" s="5"/>
    </row>
    <row r="1464" spans="8:50" x14ac:dyDescent="0.2">
      <c r="H1464" s="5"/>
      <c r="I1464" s="5"/>
      <c r="J1464" s="5"/>
      <c r="K1464" s="5"/>
      <c r="AT1464" s="5"/>
      <c r="AU1464" s="5"/>
      <c r="AV1464" s="5"/>
      <c r="AW1464" s="5"/>
      <c r="AX1464" s="5"/>
    </row>
    <row r="1465" spans="8:50" x14ac:dyDescent="0.2">
      <c r="H1465" s="5"/>
      <c r="I1465" s="5"/>
      <c r="J1465" s="5"/>
      <c r="K1465" s="5"/>
      <c r="AT1465" s="5"/>
      <c r="AU1465" s="5"/>
      <c r="AV1465" s="5"/>
      <c r="AW1465" s="5"/>
      <c r="AX1465" s="5"/>
    </row>
    <row r="1466" spans="8:50" x14ac:dyDescent="0.2">
      <c r="H1466" s="5"/>
      <c r="I1466" s="5"/>
      <c r="J1466" s="5"/>
      <c r="K1466" s="5"/>
      <c r="AT1466" s="5"/>
      <c r="AU1466" s="5"/>
      <c r="AV1466" s="5"/>
      <c r="AW1466" s="5"/>
      <c r="AX1466" s="5"/>
    </row>
    <row r="1467" spans="8:50" x14ac:dyDescent="0.2">
      <c r="H1467" s="5"/>
      <c r="I1467" s="5"/>
      <c r="J1467" s="5"/>
      <c r="K1467" s="5"/>
      <c r="AT1467" s="5"/>
      <c r="AU1467" s="5"/>
      <c r="AV1467" s="5"/>
      <c r="AW1467" s="5"/>
      <c r="AX1467" s="5"/>
    </row>
    <row r="1468" spans="8:50" x14ac:dyDescent="0.2">
      <c r="H1468" s="5"/>
      <c r="I1468" s="5"/>
      <c r="J1468" s="5"/>
      <c r="K1468" s="5"/>
      <c r="AT1468" s="5"/>
      <c r="AU1468" s="5"/>
      <c r="AV1468" s="5"/>
      <c r="AW1468" s="5"/>
      <c r="AX1468" s="5"/>
    </row>
    <row r="1469" spans="8:50" x14ac:dyDescent="0.2">
      <c r="H1469" s="5"/>
      <c r="I1469" s="5"/>
      <c r="J1469" s="5"/>
      <c r="K1469" s="5"/>
      <c r="AT1469" s="5"/>
      <c r="AU1469" s="5"/>
      <c r="AV1469" s="5"/>
      <c r="AW1469" s="5"/>
      <c r="AX1469" s="5"/>
    </row>
    <row r="1470" spans="8:50" x14ac:dyDescent="0.2">
      <c r="H1470" s="5"/>
      <c r="I1470" s="5"/>
      <c r="J1470" s="5"/>
      <c r="K1470" s="5"/>
      <c r="AT1470" s="5"/>
      <c r="AU1470" s="5"/>
      <c r="AV1470" s="5"/>
      <c r="AW1470" s="5"/>
      <c r="AX1470" s="5"/>
    </row>
    <row r="1471" spans="8:50" x14ac:dyDescent="0.2">
      <c r="H1471" s="5"/>
      <c r="I1471" s="5"/>
      <c r="J1471" s="5"/>
      <c r="K1471" s="5"/>
      <c r="AT1471" s="5"/>
      <c r="AU1471" s="5"/>
      <c r="AV1471" s="5"/>
      <c r="AW1471" s="5"/>
      <c r="AX1471" s="5"/>
    </row>
    <row r="1472" spans="8:50" x14ac:dyDescent="0.2">
      <c r="H1472" s="5"/>
      <c r="I1472" s="5"/>
      <c r="J1472" s="5"/>
      <c r="K1472" s="5"/>
      <c r="AT1472" s="5"/>
      <c r="AU1472" s="5"/>
      <c r="AV1472" s="5"/>
      <c r="AW1472" s="5"/>
      <c r="AX1472" s="5"/>
    </row>
    <row r="1473" spans="8:50" x14ac:dyDescent="0.2">
      <c r="H1473" s="5"/>
      <c r="I1473" s="5"/>
      <c r="J1473" s="5"/>
      <c r="K1473" s="5"/>
      <c r="AT1473" s="5"/>
      <c r="AU1473" s="5"/>
      <c r="AV1473" s="5"/>
      <c r="AW1473" s="5"/>
      <c r="AX1473" s="5"/>
    </row>
    <row r="1474" spans="8:50" x14ac:dyDescent="0.2">
      <c r="H1474" s="5"/>
      <c r="I1474" s="5"/>
      <c r="J1474" s="5"/>
      <c r="K1474" s="5"/>
      <c r="AT1474" s="5"/>
      <c r="AU1474" s="5"/>
      <c r="AV1474" s="5"/>
      <c r="AW1474" s="5"/>
      <c r="AX1474" s="5"/>
    </row>
    <row r="1475" spans="8:50" x14ac:dyDescent="0.2">
      <c r="H1475" s="5"/>
      <c r="I1475" s="5"/>
      <c r="J1475" s="5"/>
      <c r="K1475" s="5"/>
      <c r="AT1475" s="5"/>
      <c r="AU1475" s="5"/>
      <c r="AV1475" s="5"/>
      <c r="AW1475" s="5"/>
      <c r="AX1475" s="5"/>
    </row>
    <row r="1476" spans="8:50" x14ac:dyDescent="0.2">
      <c r="H1476" s="5"/>
      <c r="I1476" s="5"/>
      <c r="J1476" s="5"/>
      <c r="K1476" s="5"/>
      <c r="AT1476" s="5"/>
      <c r="AU1476" s="5"/>
      <c r="AV1476" s="5"/>
      <c r="AW1476" s="5"/>
      <c r="AX1476" s="5"/>
    </row>
    <row r="1477" spans="8:50" x14ac:dyDescent="0.2">
      <c r="H1477" s="5"/>
      <c r="I1477" s="5"/>
      <c r="J1477" s="5"/>
      <c r="K1477" s="5"/>
      <c r="AT1477" s="5"/>
      <c r="AU1477" s="5"/>
      <c r="AV1477" s="5"/>
      <c r="AW1477" s="5"/>
      <c r="AX1477" s="5"/>
    </row>
    <row r="1478" spans="8:50" x14ac:dyDescent="0.2">
      <c r="H1478" s="5"/>
      <c r="I1478" s="5"/>
      <c r="J1478" s="5"/>
      <c r="K1478" s="5"/>
      <c r="AT1478" s="5"/>
      <c r="AU1478" s="5"/>
      <c r="AV1478" s="5"/>
      <c r="AW1478" s="5"/>
      <c r="AX1478" s="5"/>
    </row>
    <row r="1479" spans="8:50" x14ac:dyDescent="0.2">
      <c r="H1479" s="5"/>
      <c r="I1479" s="5"/>
      <c r="J1479" s="5"/>
      <c r="K1479" s="5"/>
      <c r="AT1479" s="5"/>
      <c r="AU1479" s="5"/>
      <c r="AV1479" s="5"/>
      <c r="AW1479" s="5"/>
      <c r="AX1479" s="5"/>
    </row>
    <row r="1480" spans="8:50" x14ac:dyDescent="0.2">
      <c r="H1480" s="5"/>
      <c r="I1480" s="5"/>
      <c r="J1480" s="5"/>
      <c r="K1480" s="5"/>
      <c r="AT1480" s="5"/>
      <c r="AU1480" s="5"/>
      <c r="AV1480" s="5"/>
      <c r="AW1480" s="5"/>
      <c r="AX1480" s="5"/>
    </row>
    <row r="1481" spans="8:50" x14ac:dyDescent="0.2">
      <c r="H1481" s="5"/>
      <c r="I1481" s="5"/>
      <c r="J1481" s="5"/>
      <c r="K1481" s="5"/>
      <c r="AT1481" s="5"/>
      <c r="AU1481" s="5"/>
      <c r="AV1481" s="5"/>
      <c r="AW1481" s="5"/>
      <c r="AX1481" s="5"/>
    </row>
    <row r="1482" spans="8:50" x14ac:dyDescent="0.2">
      <c r="H1482" s="5"/>
      <c r="I1482" s="5"/>
      <c r="J1482" s="5"/>
      <c r="K1482" s="5"/>
      <c r="AT1482" s="5"/>
      <c r="AU1482" s="5"/>
      <c r="AV1482" s="5"/>
      <c r="AW1482" s="5"/>
      <c r="AX1482" s="5"/>
    </row>
    <row r="1483" spans="8:50" x14ac:dyDescent="0.2">
      <c r="H1483" s="5"/>
      <c r="I1483" s="5"/>
      <c r="J1483" s="5"/>
      <c r="K1483" s="5"/>
      <c r="AT1483" s="5"/>
      <c r="AU1483" s="5"/>
      <c r="AV1483" s="5"/>
      <c r="AW1483" s="5"/>
      <c r="AX1483" s="5"/>
    </row>
    <row r="1484" spans="8:50" x14ac:dyDescent="0.2">
      <c r="H1484" s="5"/>
      <c r="I1484" s="5"/>
      <c r="J1484" s="5"/>
      <c r="K1484" s="5"/>
      <c r="AT1484" s="5"/>
      <c r="AU1484" s="5"/>
      <c r="AV1484" s="5"/>
      <c r="AW1484" s="5"/>
      <c r="AX1484" s="5"/>
    </row>
    <row r="1485" spans="8:50" x14ac:dyDescent="0.2">
      <c r="H1485" s="5"/>
      <c r="I1485" s="5"/>
      <c r="J1485" s="5"/>
      <c r="K1485" s="5"/>
      <c r="AT1485" s="5"/>
      <c r="AU1485" s="5"/>
      <c r="AV1485" s="5"/>
      <c r="AW1485" s="5"/>
      <c r="AX1485" s="5"/>
    </row>
    <row r="1486" spans="8:50" x14ac:dyDescent="0.2">
      <c r="H1486" s="5"/>
      <c r="I1486" s="5"/>
      <c r="J1486" s="5"/>
      <c r="K1486" s="5"/>
      <c r="AT1486" s="5"/>
      <c r="AU1486" s="5"/>
      <c r="AV1486" s="5"/>
      <c r="AW1486" s="5"/>
      <c r="AX1486" s="5"/>
    </row>
    <row r="1487" spans="8:50" x14ac:dyDescent="0.2">
      <c r="H1487" s="5"/>
      <c r="I1487" s="5"/>
      <c r="J1487" s="5"/>
      <c r="K1487" s="5"/>
      <c r="AT1487" s="5"/>
      <c r="AU1487" s="5"/>
      <c r="AV1487" s="5"/>
      <c r="AW1487" s="5"/>
      <c r="AX1487" s="5"/>
    </row>
    <row r="1488" spans="8:50" x14ac:dyDescent="0.2">
      <c r="H1488" s="5"/>
      <c r="I1488" s="5"/>
      <c r="J1488" s="5"/>
      <c r="K1488" s="5"/>
      <c r="AT1488" s="5"/>
      <c r="AU1488" s="5"/>
      <c r="AV1488" s="5"/>
      <c r="AW1488" s="5"/>
      <c r="AX1488" s="5"/>
    </row>
    <row r="1489" spans="8:50" x14ac:dyDescent="0.2">
      <c r="H1489" s="5"/>
      <c r="I1489" s="5"/>
      <c r="J1489" s="5"/>
      <c r="K1489" s="5"/>
      <c r="AT1489" s="5"/>
      <c r="AU1489" s="5"/>
      <c r="AV1489" s="5"/>
      <c r="AW1489" s="5"/>
      <c r="AX1489" s="5"/>
    </row>
    <row r="1490" spans="8:50" x14ac:dyDescent="0.2">
      <c r="H1490" s="5"/>
      <c r="I1490" s="5"/>
      <c r="J1490" s="5"/>
      <c r="K1490" s="5"/>
      <c r="AT1490" s="5"/>
      <c r="AU1490" s="5"/>
      <c r="AV1490" s="5"/>
      <c r="AW1490" s="5"/>
      <c r="AX1490" s="5"/>
    </row>
    <row r="1491" spans="8:50" x14ac:dyDescent="0.2">
      <c r="H1491" s="5"/>
      <c r="I1491" s="5"/>
      <c r="J1491" s="5"/>
      <c r="K1491" s="5"/>
      <c r="AT1491" s="5"/>
      <c r="AU1491" s="5"/>
      <c r="AV1491" s="5"/>
      <c r="AW1491" s="5"/>
      <c r="AX1491" s="5"/>
    </row>
    <row r="1492" spans="8:50" x14ac:dyDescent="0.2">
      <c r="H1492" s="5"/>
      <c r="I1492" s="5"/>
      <c r="J1492" s="5"/>
      <c r="K1492" s="5"/>
      <c r="AT1492" s="5"/>
      <c r="AU1492" s="5"/>
      <c r="AV1492" s="5"/>
      <c r="AW1492" s="5"/>
      <c r="AX1492" s="5"/>
    </row>
    <row r="1493" spans="8:50" x14ac:dyDescent="0.2">
      <c r="H1493" s="5"/>
      <c r="I1493" s="5"/>
      <c r="J1493" s="5"/>
      <c r="K1493" s="5"/>
      <c r="AT1493" s="5"/>
      <c r="AU1493" s="5"/>
      <c r="AV1493" s="5"/>
      <c r="AW1493" s="5"/>
      <c r="AX1493" s="5"/>
    </row>
    <row r="1494" spans="8:50" x14ac:dyDescent="0.2">
      <c r="H1494" s="5"/>
      <c r="I1494" s="5"/>
      <c r="J1494" s="5"/>
      <c r="K1494" s="5"/>
      <c r="AT1494" s="5"/>
      <c r="AU1494" s="5"/>
      <c r="AV1494" s="5"/>
      <c r="AW1494" s="5"/>
      <c r="AX1494" s="5"/>
    </row>
    <row r="1495" spans="8:50" x14ac:dyDescent="0.2">
      <c r="H1495" s="5"/>
      <c r="I1495" s="5"/>
      <c r="J1495" s="5"/>
      <c r="K1495" s="5"/>
      <c r="AT1495" s="5"/>
      <c r="AU1495" s="5"/>
      <c r="AV1495" s="5"/>
      <c r="AW1495" s="5"/>
      <c r="AX1495" s="5"/>
    </row>
    <row r="1496" spans="8:50" x14ac:dyDescent="0.2">
      <c r="H1496" s="5"/>
      <c r="I1496" s="5"/>
      <c r="J1496" s="5"/>
      <c r="K1496" s="5"/>
      <c r="AT1496" s="5"/>
      <c r="AU1496" s="5"/>
      <c r="AV1496" s="5"/>
      <c r="AW1496" s="5"/>
      <c r="AX1496" s="5"/>
    </row>
    <row r="1497" spans="8:50" x14ac:dyDescent="0.2">
      <c r="H1497" s="5"/>
      <c r="I1497" s="5"/>
      <c r="J1497" s="5"/>
      <c r="K1497" s="5"/>
      <c r="AT1497" s="5"/>
      <c r="AU1497" s="5"/>
      <c r="AV1497" s="5"/>
      <c r="AW1497" s="5"/>
      <c r="AX1497" s="5"/>
    </row>
    <row r="1498" spans="8:50" x14ac:dyDescent="0.2">
      <c r="H1498" s="5"/>
      <c r="I1498" s="5"/>
      <c r="J1498" s="5"/>
      <c r="K1498" s="5"/>
      <c r="AT1498" s="5"/>
      <c r="AU1498" s="5"/>
      <c r="AV1498" s="5"/>
      <c r="AW1498" s="5"/>
      <c r="AX1498" s="5"/>
    </row>
    <row r="1499" spans="8:50" x14ac:dyDescent="0.2">
      <c r="H1499" s="5"/>
      <c r="I1499" s="5"/>
      <c r="J1499" s="5"/>
      <c r="K1499" s="5"/>
      <c r="AT1499" s="5"/>
      <c r="AU1499" s="5"/>
      <c r="AV1499" s="5"/>
      <c r="AW1499" s="5"/>
      <c r="AX1499" s="5"/>
    </row>
    <row r="1500" spans="8:50" x14ac:dyDescent="0.2">
      <c r="H1500" s="5"/>
      <c r="I1500" s="5"/>
      <c r="J1500" s="5"/>
      <c r="K1500" s="5"/>
      <c r="AT1500" s="5"/>
      <c r="AU1500" s="5"/>
      <c r="AV1500" s="5"/>
      <c r="AW1500" s="5"/>
      <c r="AX1500" s="5"/>
    </row>
    <row r="1501" spans="8:50" x14ac:dyDescent="0.2">
      <c r="H1501" s="5"/>
      <c r="I1501" s="5"/>
      <c r="J1501" s="5"/>
      <c r="K1501" s="5"/>
      <c r="AT1501" s="5"/>
      <c r="AU1501" s="5"/>
      <c r="AV1501" s="5"/>
      <c r="AW1501" s="5"/>
      <c r="AX1501" s="5"/>
    </row>
    <row r="1502" spans="8:50" x14ac:dyDescent="0.2">
      <c r="H1502" s="5"/>
      <c r="I1502" s="5"/>
      <c r="J1502" s="5"/>
      <c r="K1502" s="5"/>
      <c r="AT1502" s="5"/>
      <c r="AU1502" s="5"/>
      <c r="AV1502" s="5"/>
      <c r="AW1502" s="5"/>
      <c r="AX1502" s="5"/>
    </row>
    <row r="1503" spans="8:50" x14ac:dyDescent="0.2">
      <c r="H1503" s="5"/>
      <c r="I1503" s="5"/>
      <c r="J1503" s="5"/>
      <c r="K1503" s="5"/>
      <c r="AT1503" s="5"/>
      <c r="AU1503" s="5"/>
      <c r="AV1503" s="5"/>
      <c r="AW1503" s="5"/>
      <c r="AX1503" s="5"/>
    </row>
    <row r="1504" spans="8:50" x14ac:dyDescent="0.2">
      <c r="H1504" s="5"/>
      <c r="I1504" s="5"/>
      <c r="J1504" s="5"/>
      <c r="K1504" s="5"/>
      <c r="AT1504" s="5"/>
      <c r="AU1504" s="5"/>
      <c r="AV1504" s="5"/>
      <c r="AW1504" s="5"/>
      <c r="AX1504" s="5"/>
    </row>
    <row r="1505" spans="8:50" x14ac:dyDescent="0.2">
      <c r="H1505" s="5"/>
      <c r="I1505" s="5"/>
      <c r="J1505" s="5"/>
      <c r="K1505" s="5"/>
      <c r="AT1505" s="5"/>
      <c r="AU1505" s="5"/>
      <c r="AV1505" s="5"/>
      <c r="AW1505" s="5"/>
      <c r="AX1505" s="5"/>
    </row>
    <row r="1506" spans="8:50" x14ac:dyDescent="0.2">
      <c r="H1506" s="5"/>
      <c r="I1506" s="5"/>
      <c r="J1506" s="5"/>
      <c r="K1506" s="5"/>
      <c r="AT1506" s="5"/>
      <c r="AU1506" s="5"/>
      <c r="AV1506" s="5"/>
      <c r="AW1506" s="5"/>
      <c r="AX1506" s="5"/>
    </row>
    <row r="1507" spans="8:50" x14ac:dyDescent="0.2">
      <c r="H1507" s="5"/>
      <c r="I1507" s="5"/>
      <c r="J1507" s="5"/>
      <c r="K1507" s="5"/>
      <c r="AT1507" s="5"/>
      <c r="AU1507" s="5"/>
      <c r="AV1507" s="5"/>
      <c r="AW1507" s="5"/>
      <c r="AX1507" s="5"/>
    </row>
    <row r="1508" spans="8:50" x14ac:dyDescent="0.2">
      <c r="H1508" s="5"/>
      <c r="I1508" s="5"/>
      <c r="J1508" s="5"/>
      <c r="K1508" s="5"/>
      <c r="AT1508" s="5"/>
      <c r="AU1508" s="5"/>
      <c r="AV1508" s="5"/>
      <c r="AW1508" s="5"/>
      <c r="AX1508" s="5"/>
    </row>
    <row r="1509" spans="8:50" x14ac:dyDescent="0.2">
      <c r="H1509" s="5"/>
      <c r="I1509" s="5"/>
      <c r="J1509" s="5"/>
      <c r="K1509" s="5"/>
      <c r="AT1509" s="5"/>
      <c r="AU1509" s="5"/>
      <c r="AV1509" s="5"/>
      <c r="AW1509" s="5"/>
      <c r="AX1509" s="5"/>
    </row>
    <row r="1510" spans="8:50" x14ac:dyDescent="0.2">
      <c r="H1510" s="5"/>
      <c r="I1510" s="5"/>
      <c r="J1510" s="5"/>
      <c r="K1510" s="5"/>
      <c r="AT1510" s="5"/>
      <c r="AU1510" s="5"/>
      <c r="AV1510" s="5"/>
      <c r="AW1510" s="5"/>
      <c r="AX1510" s="5"/>
    </row>
    <row r="1511" spans="8:50" x14ac:dyDescent="0.2">
      <c r="H1511" s="5"/>
      <c r="I1511" s="5"/>
      <c r="J1511" s="5"/>
      <c r="K1511" s="5"/>
      <c r="AT1511" s="5"/>
      <c r="AU1511" s="5"/>
      <c r="AV1511" s="5"/>
      <c r="AW1511" s="5"/>
      <c r="AX1511" s="5"/>
    </row>
    <row r="1512" spans="8:50" x14ac:dyDescent="0.2">
      <c r="H1512" s="5"/>
      <c r="I1512" s="5"/>
      <c r="J1512" s="5"/>
      <c r="K1512" s="5"/>
      <c r="AT1512" s="5"/>
      <c r="AU1512" s="5"/>
      <c r="AV1512" s="5"/>
      <c r="AW1512" s="5"/>
      <c r="AX1512" s="5"/>
    </row>
    <row r="1513" spans="8:50" x14ac:dyDescent="0.2">
      <c r="H1513" s="5"/>
      <c r="I1513" s="5"/>
      <c r="J1513" s="5"/>
      <c r="K1513" s="5"/>
      <c r="AT1513" s="5"/>
      <c r="AU1513" s="5"/>
      <c r="AV1513" s="5"/>
      <c r="AW1513" s="5"/>
      <c r="AX1513" s="5"/>
    </row>
    <row r="1514" spans="8:50" x14ac:dyDescent="0.2">
      <c r="H1514" s="5"/>
      <c r="I1514" s="5"/>
      <c r="J1514" s="5"/>
      <c r="K1514" s="5"/>
      <c r="AT1514" s="5"/>
      <c r="AU1514" s="5"/>
      <c r="AV1514" s="5"/>
      <c r="AW1514" s="5"/>
      <c r="AX1514" s="5"/>
    </row>
    <row r="1515" spans="8:50" x14ac:dyDescent="0.2">
      <c r="H1515" s="5"/>
      <c r="I1515" s="5"/>
      <c r="J1515" s="5"/>
      <c r="K1515" s="5"/>
      <c r="AT1515" s="5"/>
      <c r="AU1515" s="5"/>
      <c r="AV1515" s="5"/>
      <c r="AW1515" s="5"/>
      <c r="AX1515" s="5"/>
    </row>
    <row r="1516" spans="8:50" x14ac:dyDescent="0.2">
      <c r="H1516" s="5"/>
      <c r="I1516" s="5"/>
      <c r="J1516" s="5"/>
      <c r="K1516" s="5"/>
      <c r="AT1516" s="5"/>
      <c r="AU1516" s="5"/>
      <c r="AV1516" s="5"/>
      <c r="AW1516" s="5"/>
      <c r="AX1516" s="5"/>
    </row>
    <row r="1517" spans="8:50" x14ac:dyDescent="0.2">
      <c r="H1517" s="5"/>
      <c r="I1517" s="5"/>
      <c r="J1517" s="5"/>
      <c r="K1517" s="5"/>
      <c r="AT1517" s="5"/>
      <c r="AU1517" s="5"/>
      <c r="AV1517" s="5"/>
      <c r="AW1517" s="5"/>
      <c r="AX1517" s="5"/>
    </row>
    <row r="1518" spans="8:50" x14ac:dyDescent="0.2">
      <c r="H1518" s="5"/>
      <c r="I1518" s="5"/>
      <c r="J1518" s="5"/>
      <c r="K1518" s="5"/>
      <c r="AT1518" s="5"/>
      <c r="AU1518" s="5"/>
      <c r="AV1518" s="5"/>
      <c r="AW1518" s="5"/>
      <c r="AX1518" s="5"/>
    </row>
    <row r="1519" spans="8:50" x14ac:dyDescent="0.2">
      <c r="H1519" s="5"/>
      <c r="I1519" s="5"/>
      <c r="J1519" s="5"/>
      <c r="K1519" s="5"/>
      <c r="AT1519" s="5"/>
      <c r="AU1519" s="5"/>
      <c r="AV1519" s="5"/>
      <c r="AW1519" s="5"/>
      <c r="AX1519" s="5"/>
    </row>
    <row r="1520" spans="8:50" x14ac:dyDescent="0.2">
      <c r="H1520" s="5"/>
      <c r="I1520" s="5"/>
      <c r="J1520" s="5"/>
      <c r="K1520" s="5"/>
      <c r="AT1520" s="5"/>
      <c r="AU1520" s="5"/>
      <c r="AV1520" s="5"/>
      <c r="AW1520" s="5"/>
      <c r="AX1520" s="5"/>
    </row>
    <row r="1521" spans="8:50" x14ac:dyDescent="0.2">
      <c r="H1521" s="5"/>
      <c r="I1521" s="5"/>
      <c r="J1521" s="5"/>
      <c r="K1521" s="5"/>
      <c r="AT1521" s="5"/>
      <c r="AU1521" s="5"/>
      <c r="AV1521" s="5"/>
      <c r="AW1521" s="5"/>
      <c r="AX1521" s="5"/>
    </row>
    <row r="1522" spans="8:50" x14ac:dyDescent="0.2">
      <c r="H1522" s="5"/>
      <c r="I1522" s="5"/>
      <c r="J1522" s="5"/>
      <c r="K1522" s="5"/>
      <c r="AT1522" s="5"/>
      <c r="AU1522" s="5"/>
      <c r="AV1522" s="5"/>
      <c r="AW1522" s="5"/>
      <c r="AX1522" s="5"/>
    </row>
    <row r="1523" spans="8:50" x14ac:dyDescent="0.2">
      <c r="H1523" s="5"/>
      <c r="I1523" s="5"/>
      <c r="J1523" s="5"/>
      <c r="K1523" s="5"/>
      <c r="AT1523" s="5"/>
      <c r="AU1523" s="5"/>
      <c r="AV1523" s="5"/>
      <c r="AW1523" s="5"/>
      <c r="AX1523" s="5"/>
    </row>
    <row r="1524" spans="8:50" x14ac:dyDescent="0.2">
      <c r="H1524" s="5"/>
      <c r="I1524" s="5"/>
      <c r="J1524" s="5"/>
      <c r="K1524" s="5"/>
      <c r="AT1524" s="5"/>
      <c r="AU1524" s="5"/>
      <c r="AV1524" s="5"/>
      <c r="AW1524" s="5"/>
      <c r="AX1524" s="5"/>
    </row>
    <row r="1525" spans="8:50" x14ac:dyDescent="0.2">
      <c r="H1525" s="5"/>
      <c r="I1525" s="5"/>
      <c r="J1525" s="5"/>
      <c r="K1525" s="5"/>
      <c r="AT1525" s="5"/>
      <c r="AU1525" s="5"/>
      <c r="AV1525" s="5"/>
      <c r="AW1525" s="5"/>
      <c r="AX1525" s="5"/>
    </row>
    <row r="1526" spans="8:50" x14ac:dyDescent="0.2">
      <c r="H1526" s="5"/>
      <c r="I1526" s="5"/>
      <c r="J1526" s="5"/>
      <c r="K1526" s="5"/>
      <c r="AT1526" s="5"/>
      <c r="AU1526" s="5"/>
      <c r="AV1526" s="5"/>
      <c r="AW1526" s="5"/>
      <c r="AX1526" s="5"/>
    </row>
    <row r="1527" spans="8:50" x14ac:dyDescent="0.2">
      <c r="H1527" s="5"/>
      <c r="I1527" s="5"/>
      <c r="J1527" s="5"/>
      <c r="K1527" s="5"/>
      <c r="AT1527" s="5"/>
      <c r="AU1527" s="5"/>
      <c r="AV1527" s="5"/>
      <c r="AW1527" s="5"/>
      <c r="AX1527" s="5"/>
    </row>
    <row r="1528" spans="8:50" x14ac:dyDescent="0.2">
      <c r="H1528" s="5"/>
      <c r="I1528" s="5"/>
      <c r="J1528" s="5"/>
      <c r="K1528" s="5"/>
      <c r="AT1528" s="5"/>
      <c r="AU1528" s="5"/>
      <c r="AV1528" s="5"/>
      <c r="AW1528" s="5"/>
      <c r="AX1528" s="5"/>
    </row>
    <row r="1529" spans="8:50" x14ac:dyDescent="0.2">
      <c r="H1529" s="5"/>
      <c r="I1529" s="5"/>
      <c r="J1529" s="5"/>
      <c r="K1529" s="5"/>
      <c r="AT1529" s="5"/>
      <c r="AU1529" s="5"/>
      <c r="AV1529" s="5"/>
      <c r="AW1529" s="5"/>
      <c r="AX1529" s="5"/>
    </row>
    <row r="1530" spans="8:50" x14ac:dyDescent="0.2">
      <c r="H1530" s="5"/>
      <c r="I1530" s="5"/>
      <c r="J1530" s="5"/>
      <c r="K1530" s="5"/>
      <c r="AT1530" s="5"/>
      <c r="AU1530" s="5"/>
      <c r="AV1530" s="5"/>
      <c r="AW1530" s="5"/>
      <c r="AX1530" s="5"/>
    </row>
    <row r="1531" spans="8:50" x14ac:dyDescent="0.2">
      <c r="H1531" s="5"/>
      <c r="I1531" s="5"/>
      <c r="J1531" s="5"/>
      <c r="K1531" s="5"/>
      <c r="AT1531" s="5"/>
      <c r="AU1531" s="5"/>
      <c r="AV1531" s="5"/>
      <c r="AW1531" s="5"/>
      <c r="AX1531" s="5"/>
    </row>
    <row r="1532" spans="8:50" x14ac:dyDescent="0.2">
      <c r="H1532" s="5"/>
      <c r="I1532" s="5"/>
      <c r="J1532" s="5"/>
      <c r="K1532" s="5"/>
      <c r="AT1532" s="5"/>
      <c r="AU1532" s="5"/>
      <c r="AV1532" s="5"/>
      <c r="AW1532" s="5"/>
      <c r="AX1532" s="5"/>
    </row>
    <row r="1533" spans="8:50" x14ac:dyDescent="0.2">
      <c r="H1533" s="5"/>
      <c r="I1533" s="5"/>
      <c r="J1533" s="5"/>
      <c r="K1533" s="5"/>
      <c r="AT1533" s="5"/>
      <c r="AU1533" s="5"/>
      <c r="AV1533" s="5"/>
      <c r="AW1533" s="5"/>
      <c r="AX1533" s="5"/>
    </row>
    <row r="1534" spans="8:50" x14ac:dyDescent="0.2">
      <c r="H1534" s="5"/>
      <c r="I1534" s="5"/>
      <c r="J1534" s="5"/>
      <c r="K1534" s="5"/>
      <c r="AT1534" s="5"/>
      <c r="AU1534" s="5"/>
      <c r="AV1534" s="5"/>
      <c r="AW1534" s="5"/>
      <c r="AX1534" s="5"/>
    </row>
    <row r="1535" spans="8:50" x14ac:dyDescent="0.2">
      <c r="H1535" s="5"/>
      <c r="I1535" s="5"/>
      <c r="J1535" s="5"/>
      <c r="K1535" s="5"/>
      <c r="AT1535" s="5"/>
      <c r="AU1535" s="5"/>
      <c r="AV1535" s="5"/>
      <c r="AW1535" s="5"/>
      <c r="AX1535" s="5"/>
    </row>
    <row r="1536" spans="8:50" x14ac:dyDescent="0.2">
      <c r="H1536" s="5"/>
      <c r="I1536" s="5"/>
      <c r="J1536" s="5"/>
      <c r="K1536" s="5"/>
      <c r="AT1536" s="5"/>
      <c r="AU1536" s="5"/>
      <c r="AV1536" s="5"/>
      <c r="AW1536" s="5"/>
      <c r="AX1536" s="5"/>
    </row>
    <row r="1537" spans="8:50" x14ac:dyDescent="0.2">
      <c r="H1537" s="5"/>
      <c r="I1537" s="5"/>
      <c r="J1537" s="5"/>
      <c r="K1537" s="5"/>
      <c r="AT1537" s="5"/>
      <c r="AU1537" s="5"/>
      <c r="AV1537" s="5"/>
      <c r="AW1537" s="5"/>
      <c r="AX1537" s="5"/>
    </row>
    <row r="1538" spans="8:50" x14ac:dyDescent="0.2">
      <c r="H1538" s="5"/>
      <c r="I1538" s="5"/>
      <c r="J1538" s="5"/>
      <c r="K1538" s="5"/>
      <c r="AT1538" s="5"/>
      <c r="AU1538" s="5"/>
      <c r="AV1538" s="5"/>
      <c r="AW1538" s="5"/>
      <c r="AX1538" s="5"/>
    </row>
    <row r="1539" spans="8:50" x14ac:dyDescent="0.2">
      <c r="H1539" s="5"/>
      <c r="I1539" s="5"/>
      <c r="J1539" s="5"/>
      <c r="K1539" s="5"/>
      <c r="AT1539" s="5"/>
      <c r="AU1539" s="5"/>
      <c r="AV1539" s="5"/>
      <c r="AW1539" s="5"/>
      <c r="AX1539" s="5"/>
    </row>
    <row r="1540" spans="8:50" x14ac:dyDescent="0.2">
      <c r="H1540" s="5"/>
      <c r="I1540" s="5"/>
      <c r="J1540" s="5"/>
      <c r="K1540" s="5"/>
      <c r="AT1540" s="5"/>
      <c r="AU1540" s="5"/>
      <c r="AV1540" s="5"/>
      <c r="AW1540" s="5"/>
      <c r="AX1540" s="5"/>
    </row>
    <row r="1541" spans="8:50" x14ac:dyDescent="0.2">
      <c r="H1541" s="5"/>
      <c r="I1541" s="5"/>
      <c r="J1541" s="5"/>
      <c r="K1541" s="5"/>
      <c r="AT1541" s="5"/>
      <c r="AU1541" s="5"/>
      <c r="AV1541" s="5"/>
      <c r="AW1541" s="5"/>
      <c r="AX1541" s="5"/>
    </row>
    <row r="1542" spans="8:50" x14ac:dyDescent="0.2">
      <c r="H1542" s="5"/>
      <c r="I1542" s="5"/>
      <c r="J1542" s="5"/>
      <c r="K1542" s="5"/>
      <c r="AT1542" s="5"/>
      <c r="AU1542" s="5"/>
      <c r="AV1542" s="5"/>
      <c r="AW1542" s="5"/>
      <c r="AX1542" s="5"/>
    </row>
    <row r="1543" spans="8:50" x14ac:dyDescent="0.2">
      <c r="H1543" s="5"/>
      <c r="I1543" s="5"/>
      <c r="J1543" s="5"/>
      <c r="K1543" s="5"/>
      <c r="AT1543" s="5"/>
      <c r="AU1543" s="5"/>
      <c r="AV1543" s="5"/>
      <c r="AW1543" s="5"/>
      <c r="AX1543" s="5"/>
    </row>
    <row r="1544" spans="8:50" x14ac:dyDescent="0.2">
      <c r="H1544" s="5"/>
      <c r="I1544" s="5"/>
      <c r="J1544" s="5"/>
      <c r="K1544" s="5"/>
      <c r="AT1544" s="5"/>
      <c r="AU1544" s="5"/>
      <c r="AV1544" s="5"/>
      <c r="AW1544" s="5"/>
      <c r="AX1544" s="5"/>
    </row>
    <row r="1545" spans="8:50" x14ac:dyDescent="0.2">
      <c r="H1545" s="5"/>
      <c r="I1545" s="5"/>
      <c r="J1545" s="5"/>
      <c r="K1545" s="5"/>
      <c r="AT1545" s="5"/>
      <c r="AU1545" s="5"/>
      <c r="AV1545" s="5"/>
      <c r="AW1545" s="5"/>
      <c r="AX1545" s="5"/>
    </row>
    <row r="1546" spans="8:50" x14ac:dyDescent="0.2">
      <c r="H1546" s="5"/>
      <c r="I1546" s="5"/>
      <c r="J1546" s="5"/>
      <c r="K1546" s="5"/>
      <c r="AT1546" s="5"/>
      <c r="AU1546" s="5"/>
      <c r="AV1546" s="5"/>
      <c r="AW1546" s="5"/>
      <c r="AX1546" s="5"/>
    </row>
    <row r="1547" spans="8:50" x14ac:dyDescent="0.2">
      <c r="H1547" s="5"/>
      <c r="I1547" s="5"/>
      <c r="J1547" s="5"/>
      <c r="K1547" s="5"/>
      <c r="AT1547" s="5"/>
      <c r="AU1547" s="5"/>
      <c r="AV1547" s="5"/>
      <c r="AW1547" s="5"/>
      <c r="AX1547" s="5"/>
    </row>
    <row r="1548" spans="8:50" x14ac:dyDescent="0.2">
      <c r="H1548" s="5"/>
      <c r="I1548" s="5"/>
      <c r="J1548" s="5"/>
      <c r="K1548" s="5"/>
      <c r="AT1548" s="5"/>
      <c r="AU1548" s="5"/>
      <c r="AV1548" s="5"/>
      <c r="AW1548" s="5"/>
      <c r="AX1548" s="5"/>
    </row>
    <row r="1549" spans="8:50" x14ac:dyDescent="0.2">
      <c r="H1549" s="5"/>
      <c r="I1549" s="5"/>
      <c r="J1549" s="5"/>
      <c r="K1549" s="5"/>
      <c r="AT1549" s="5"/>
      <c r="AU1549" s="5"/>
      <c r="AV1549" s="5"/>
      <c r="AW1549" s="5"/>
      <c r="AX1549" s="5"/>
    </row>
    <row r="1550" spans="8:50" x14ac:dyDescent="0.2">
      <c r="H1550" s="5"/>
      <c r="I1550" s="5"/>
      <c r="J1550" s="5"/>
      <c r="K1550" s="5"/>
      <c r="AT1550" s="5"/>
      <c r="AU1550" s="5"/>
      <c r="AV1550" s="5"/>
      <c r="AW1550" s="5"/>
      <c r="AX1550" s="5"/>
    </row>
    <row r="1551" spans="8:50" x14ac:dyDescent="0.2">
      <c r="H1551" s="5"/>
      <c r="I1551" s="5"/>
      <c r="J1551" s="5"/>
      <c r="K1551" s="5"/>
      <c r="AT1551" s="5"/>
      <c r="AU1551" s="5"/>
      <c r="AV1551" s="5"/>
      <c r="AW1551" s="5"/>
      <c r="AX1551" s="5"/>
    </row>
    <row r="1552" spans="8:50" x14ac:dyDescent="0.2">
      <c r="H1552" s="5"/>
      <c r="I1552" s="5"/>
      <c r="J1552" s="5"/>
      <c r="K1552" s="5"/>
      <c r="AT1552" s="5"/>
      <c r="AU1552" s="5"/>
      <c r="AV1552" s="5"/>
      <c r="AW1552" s="5"/>
      <c r="AX1552" s="5"/>
    </row>
    <row r="1553" spans="8:50" x14ac:dyDescent="0.2">
      <c r="H1553" s="5"/>
      <c r="I1553" s="5"/>
      <c r="J1553" s="5"/>
      <c r="K1553" s="5"/>
      <c r="AT1553" s="5"/>
      <c r="AU1553" s="5"/>
      <c r="AV1553" s="5"/>
      <c r="AW1553" s="5"/>
      <c r="AX1553" s="5"/>
    </row>
    <row r="1554" spans="8:50" x14ac:dyDescent="0.2">
      <c r="H1554" s="5"/>
      <c r="I1554" s="5"/>
      <c r="J1554" s="5"/>
      <c r="K1554" s="5"/>
      <c r="AT1554" s="5"/>
      <c r="AU1554" s="5"/>
      <c r="AV1554" s="5"/>
      <c r="AW1554" s="5"/>
      <c r="AX1554" s="5"/>
    </row>
    <row r="1555" spans="8:50" x14ac:dyDescent="0.2">
      <c r="H1555" s="5"/>
      <c r="I1555" s="5"/>
      <c r="J1555" s="5"/>
      <c r="K1555" s="5"/>
      <c r="AT1555" s="5"/>
      <c r="AU1555" s="5"/>
      <c r="AV1555" s="5"/>
      <c r="AW1555" s="5"/>
      <c r="AX1555" s="5"/>
    </row>
    <row r="1556" spans="8:50" x14ac:dyDescent="0.2">
      <c r="H1556" s="5"/>
      <c r="I1556" s="5"/>
      <c r="J1556" s="5"/>
      <c r="K1556" s="5"/>
      <c r="AT1556" s="5"/>
      <c r="AU1556" s="5"/>
      <c r="AV1556" s="5"/>
      <c r="AW1556" s="5"/>
      <c r="AX1556" s="5"/>
    </row>
    <row r="1557" spans="8:50" x14ac:dyDescent="0.2">
      <c r="H1557" s="5"/>
      <c r="I1557" s="5"/>
      <c r="J1557" s="5"/>
      <c r="K1557" s="5"/>
      <c r="AT1557" s="5"/>
      <c r="AU1557" s="5"/>
      <c r="AV1557" s="5"/>
      <c r="AW1557" s="5"/>
      <c r="AX1557" s="5"/>
    </row>
    <row r="1558" spans="8:50" x14ac:dyDescent="0.2">
      <c r="H1558" s="5"/>
      <c r="I1558" s="5"/>
      <c r="J1558" s="5"/>
      <c r="K1558" s="5"/>
      <c r="AT1558" s="5"/>
      <c r="AU1558" s="5"/>
      <c r="AV1558" s="5"/>
      <c r="AW1558" s="5"/>
      <c r="AX1558" s="5"/>
    </row>
    <row r="1559" spans="8:50" x14ac:dyDescent="0.2">
      <c r="H1559" s="5"/>
      <c r="I1559" s="5"/>
      <c r="J1559" s="5"/>
      <c r="K1559" s="5"/>
      <c r="AT1559" s="5"/>
      <c r="AU1559" s="5"/>
      <c r="AV1559" s="5"/>
      <c r="AW1559" s="5"/>
      <c r="AX1559" s="5"/>
    </row>
    <row r="1560" spans="8:50" x14ac:dyDescent="0.2">
      <c r="H1560" s="5"/>
      <c r="I1560" s="5"/>
      <c r="J1560" s="5"/>
      <c r="K1560" s="5"/>
      <c r="AT1560" s="5"/>
      <c r="AU1560" s="5"/>
      <c r="AV1560" s="5"/>
      <c r="AW1560" s="5"/>
      <c r="AX1560" s="5"/>
    </row>
    <row r="1561" spans="8:50" x14ac:dyDescent="0.2">
      <c r="H1561" s="5"/>
      <c r="I1561" s="5"/>
      <c r="J1561" s="5"/>
      <c r="K1561" s="5"/>
      <c r="AT1561" s="5"/>
      <c r="AU1561" s="5"/>
      <c r="AV1561" s="5"/>
      <c r="AW1561" s="5"/>
      <c r="AX1561" s="5"/>
    </row>
    <row r="1562" spans="8:50" x14ac:dyDescent="0.2">
      <c r="H1562" s="5"/>
      <c r="I1562" s="5"/>
      <c r="J1562" s="5"/>
      <c r="K1562" s="5"/>
      <c r="AT1562" s="5"/>
      <c r="AU1562" s="5"/>
      <c r="AV1562" s="5"/>
      <c r="AW1562" s="5"/>
      <c r="AX1562" s="5"/>
    </row>
    <row r="1563" spans="8:50" x14ac:dyDescent="0.2">
      <c r="H1563" s="5"/>
      <c r="I1563" s="5"/>
      <c r="J1563" s="5"/>
      <c r="K1563" s="5"/>
      <c r="AT1563" s="5"/>
      <c r="AU1563" s="5"/>
      <c r="AV1563" s="5"/>
      <c r="AW1563" s="5"/>
      <c r="AX1563" s="5"/>
    </row>
    <row r="1564" spans="8:50" x14ac:dyDescent="0.2">
      <c r="H1564" s="5"/>
      <c r="I1564" s="5"/>
      <c r="J1564" s="5"/>
      <c r="K1564" s="5"/>
      <c r="AT1564" s="5"/>
      <c r="AU1564" s="5"/>
      <c r="AV1564" s="5"/>
      <c r="AW1564" s="5"/>
      <c r="AX1564" s="5"/>
    </row>
    <row r="1565" spans="8:50" x14ac:dyDescent="0.2">
      <c r="H1565" s="5"/>
      <c r="I1565" s="5"/>
      <c r="J1565" s="5"/>
      <c r="K1565" s="5"/>
      <c r="AT1565" s="5"/>
      <c r="AU1565" s="5"/>
      <c r="AV1565" s="5"/>
      <c r="AW1565" s="5"/>
      <c r="AX1565" s="5"/>
    </row>
    <row r="1566" spans="8:50" x14ac:dyDescent="0.2">
      <c r="H1566" s="5"/>
      <c r="I1566" s="5"/>
      <c r="J1566" s="5"/>
      <c r="K1566" s="5"/>
      <c r="AT1566" s="5"/>
      <c r="AU1566" s="5"/>
      <c r="AV1566" s="5"/>
      <c r="AW1566" s="5"/>
      <c r="AX1566" s="5"/>
    </row>
    <row r="1567" spans="8:50" x14ac:dyDescent="0.2">
      <c r="H1567" s="5"/>
      <c r="I1567" s="5"/>
      <c r="J1567" s="5"/>
      <c r="K1567" s="5"/>
      <c r="AT1567" s="5"/>
      <c r="AU1567" s="5"/>
      <c r="AV1567" s="5"/>
      <c r="AW1567" s="5"/>
      <c r="AX1567" s="5"/>
    </row>
    <row r="1568" spans="8:50" x14ac:dyDescent="0.2">
      <c r="H1568" s="5"/>
      <c r="I1568" s="5"/>
      <c r="J1568" s="5"/>
      <c r="K1568" s="5"/>
      <c r="AT1568" s="5"/>
      <c r="AU1568" s="5"/>
      <c r="AV1568" s="5"/>
      <c r="AW1568" s="5"/>
      <c r="AX1568" s="5"/>
    </row>
    <row r="1569" spans="8:50" x14ac:dyDescent="0.2">
      <c r="H1569" s="5"/>
      <c r="I1569" s="5"/>
      <c r="J1569" s="5"/>
      <c r="K1569" s="5"/>
      <c r="AT1569" s="5"/>
      <c r="AU1569" s="5"/>
      <c r="AV1569" s="5"/>
      <c r="AW1569" s="5"/>
      <c r="AX1569" s="5"/>
    </row>
    <row r="1570" spans="8:50" x14ac:dyDescent="0.2">
      <c r="H1570" s="5"/>
      <c r="I1570" s="5"/>
      <c r="J1570" s="5"/>
      <c r="K1570" s="5"/>
      <c r="AT1570" s="5"/>
      <c r="AU1570" s="5"/>
      <c r="AV1570" s="5"/>
      <c r="AW1570" s="5"/>
      <c r="AX1570" s="5"/>
    </row>
    <row r="1571" spans="8:50" x14ac:dyDescent="0.2">
      <c r="H1571" s="5"/>
      <c r="I1571" s="5"/>
      <c r="J1571" s="5"/>
      <c r="K1571" s="5"/>
      <c r="AT1571" s="5"/>
      <c r="AU1571" s="5"/>
      <c r="AV1571" s="5"/>
      <c r="AW1571" s="5"/>
      <c r="AX1571" s="5"/>
    </row>
    <row r="1572" spans="8:50" x14ac:dyDescent="0.2">
      <c r="H1572" s="5"/>
      <c r="I1572" s="5"/>
      <c r="J1572" s="5"/>
      <c r="K1572" s="5"/>
      <c r="AT1572" s="5"/>
      <c r="AU1572" s="5"/>
      <c r="AV1572" s="5"/>
      <c r="AW1572" s="5"/>
      <c r="AX1572" s="5"/>
    </row>
    <row r="1573" spans="8:50" x14ac:dyDescent="0.2">
      <c r="H1573" s="5"/>
      <c r="I1573" s="5"/>
      <c r="J1573" s="5"/>
      <c r="K1573" s="5"/>
      <c r="AT1573" s="5"/>
      <c r="AU1573" s="5"/>
      <c r="AV1573" s="5"/>
      <c r="AW1573" s="5"/>
      <c r="AX1573" s="5"/>
    </row>
    <row r="1574" spans="8:50" x14ac:dyDescent="0.2">
      <c r="H1574" s="5"/>
      <c r="I1574" s="5"/>
      <c r="J1574" s="5"/>
      <c r="K1574" s="5"/>
      <c r="AT1574" s="5"/>
      <c r="AU1574" s="5"/>
      <c r="AV1574" s="5"/>
      <c r="AW1574" s="5"/>
      <c r="AX1574" s="5"/>
    </row>
    <row r="1575" spans="8:50" x14ac:dyDescent="0.2">
      <c r="H1575" s="5"/>
      <c r="I1575" s="5"/>
      <c r="J1575" s="5"/>
      <c r="K1575" s="5"/>
      <c r="AT1575" s="5"/>
      <c r="AU1575" s="5"/>
      <c r="AV1575" s="5"/>
      <c r="AW1575" s="5"/>
      <c r="AX1575" s="5"/>
    </row>
    <row r="1576" spans="8:50" x14ac:dyDescent="0.2">
      <c r="H1576" s="5"/>
      <c r="I1576" s="5"/>
      <c r="J1576" s="5"/>
      <c r="K1576" s="5"/>
      <c r="AT1576" s="5"/>
      <c r="AU1576" s="5"/>
      <c r="AV1576" s="5"/>
      <c r="AW1576" s="5"/>
      <c r="AX1576" s="5"/>
    </row>
    <row r="1577" spans="8:50" x14ac:dyDescent="0.2">
      <c r="H1577" s="5"/>
      <c r="I1577" s="5"/>
      <c r="J1577" s="5"/>
      <c r="K1577" s="5"/>
      <c r="AT1577" s="5"/>
      <c r="AU1577" s="5"/>
      <c r="AV1577" s="5"/>
      <c r="AW1577" s="5"/>
      <c r="AX1577" s="5"/>
    </row>
    <row r="1578" spans="8:50" x14ac:dyDescent="0.2">
      <c r="H1578" s="5"/>
      <c r="I1578" s="5"/>
      <c r="J1578" s="5"/>
      <c r="K1578" s="5"/>
      <c r="AT1578" s="5"/>
      <c r="AU1578" s="5"/>
      <c r="AV1578" s="5"/>
      <c r="AW1578" s="5"/>
      <c r="AX1578" s="5"/>
    </row>
    <row r="1579" spans="8:50" x14ac:dyDescent="0.2">
      <c r="H1579" s="5"/>
      <c r="I1579" s="5"/>
      <c r="J1579" s="5"/>
      <c r="K1579" s="5"/>
      <c r="AT1579" s="5"/>
      <c r="AU1579" s="5"/>
      <c r="AV1579" s="5"/>
      <c r="AW1579" s="5"/>
      <c r="AX1579" s="5"/>
    </row>
    <row r="1580" spans="8:50" x14ac:dyDescent="0.2">
      <c r="H1580" s="5"/>
      <c r="I1580" s="5"/>
      <c r="J1580" s="5"/>
      <c r="K1580" s="5"/>
      <c r="AT1580" s="5"/>
      <c r="AU1580" s="5"/>
      <c r="AV1580" s="5"/>
      <c r="AW1580" s="5"/>
      <c r="AX1580" s="5"/>
    </row>
    <row r="1581" spans="8:50" x14ac:dyDescent="0.2">
      <c r="H1581" s="5"/>
      <c r="I1581" s="5"/>
      <c r="J1581" s="5"/>
      <c r="K1581" s="5"/>
      <c r="AT1581" s="5"/>
      <c r="AU1581" s="5"/>
      <c r="AV1581" s="5"/>
      <c r="AW1581" s="5"/>
      <c r="AX1581" s="5"/>
    </row>
    <row r="1582" spans="8:50" x14ac:dyDescent="0.2">
      <c r="H1582" s="5"/>
      <c r="I1582" s="5"/>
      <c r="J1582" s="5"/>
      <c r="K1582" s="5"/>
      <c r="AT1582" s="5"/>
      <c r="AU1582" s="5"/>
      <c r="AV1582" s="5"/>
      <c r="AW1582" s="5"/>
      <c r="AX1582" s="5"/>
    </row>
    <row r="1583" spans="8:50" x14ac:dyDescent="0.2">
      <c r="H1583" s="5"/>
      <c r="I1583" s="5"/>
      <c r="J1583" s="5"/>
      <c r="K1583" s="5"/>
      <c r="AT1583" s="5"/>
      <c r="AU1583" s="5"/>
      <c r="AV1583" s="5"/>
      <c r="AW1583" s="5"/>
      <c r="AX1583" s="5"/>
    </row>
    <row r="1584" spans="8:50" x14ac:dyDescent="0.2">
      <c r="H1584" s="5"/>
      <c r="I1584" s="5"/>
      <c r="J1584" s="5"/>
      <c r="K1584" s="5"/>
      <c r="AT1584" s="5"/>
      <c r="AU1584" s="5"/>
      <c r="AV1584" s="5"/>
      <c r="AW1584" s="5"/>
      <c r="AX1584" s="5"/>
    </row>
    <row r="1585" spans="8:50" x14ac:dyDescent="0.2">
      <c r="H1585" s="5"/>
      <c r="I1585" s="5"/>
      <c r="J1585" s="5"/>
      <c r="K1585" s="5"/>
      <c r="AT1585" s="5"/>
      <c r="AU1585" s="5"/>
      <c r="AV1585" s="5"/>
      <c r="AW1585" s="5"/>
      <c r="AX1585" s="5"/>
    </row>
    <row r="1586" spans="8:50" x14ac:dyDescent="0.2">
      <c r="H1586" s="5"/>
      <c r="I1586" s="5"/>
      <c r="J1586" s="5"/>
      <c r="K1586" s="5"/>
      <c r="AT1586" s="5"/>
      <c r="AU1586" s="5"/>
      <c r="AV1586" s="5"/>
      <c r="AW1586" s="5"/>
      <c r="AX1586" s="5"/>
    </row>
    <row r="1587" spans="8:50" x14ac:dyDescent="0.2">
      <c r="H1587" s="5"/>
      <c r="I1587" s="5"/>
      <c r="J1587" s="5"/>
      <c r="K1587" s="5"/>
      <c r="AT1587" s="5"/>
      <c r="AU1587" s="5"/>
      <c r="AV1587" s="5"/>
      <c r="AW1587" s="5"/>
      <c r="AX1587" s="5"/>
    </row>
    <row r="1588" spans="8:50" x14ac:dyDescent="0.2">
      <c r="H1588" s="5"/>
      <c r="I1588" s="5"/>
      <c r="J1588" s="5"/>
      <c r="K1588" s="5"/>
      <c r="AT1588" s="5"/>
      <c r="AU1588" s="5"/>
      <c r="AV1588" s="5"/>
      <c r="AW1588" s="5"/>
      <c r="AX1588" s="5"/>
    </row>
    <row r="1589" spans="8:50" x14ac:dyDescent="0.2">
      <c r="H1589" s="5"/>
      <c r="I1589" s="5"/>
      <c r="J1589" s="5"/>
      <c r="K1589" s="5"/>
      <c r="AT1589" s="5"/>
      <c r="AU1589" s="5"/>
      <c r="AV1589" s="5"/>
      <c r="AW1589" s="5"/>
      <c r="AX1589" s="5"/>
    </row>
    <row r="1590" spans="8:50" x14ac:dyDescent="0.2">
      <c r="H1590" s="5"/>
      <c r="I1590" s="5"/>
      <c r="J1590" s="5"/>
      <c r="K1590" s="5"/>
      <c r="AT1590" s="5"/>
      <c r="AU1590" s="5"/>
      <c r="AV1590" s="5"/>
      <c r="AW1590" s="5"/>
      <c r="AX1590" s="5"/>
    </row>
    <row r="1591" spans="8:50" x14ac:dyDescent="0.2">
      <c r="H1591" s="5"/>
      <c r="I1591" s="5"/>
      <c r="J1591" s="5"/>
      <c r="K1591" s="5"/>
      <c r="AT1591" s="5"/>
      <c r="AU1591" s="5"/>
      <c r="AV1591" s="5"/>
      <c r="AW1591" s="5"/>
      <c r="AX1591" s="5"/>
    </row>
    <row r="1592" spans="8:50" x14ac:dyDescent="0.2">
      <c r="H1592" s="5"/>
      <c r="I1592" s="5"/>
      <c r="J1592" s="5"/>
      <c r="K1592" s="5"/>
      <c r="AT1592" s="5"/>
      <c r="AU1592" s="5"/>
      <c r="AV1592" s="5"/>
      <c r="AW1592" s="5"/>
      <c r="AX1592" s="5"/>
    </row>
    <row r="1593" spans="8:50" x14ac:dyDescent="0.2">
      <c r="H1593" s="5"/>
      <c r="I1593" s="5"/>
      <c r="J1593" s="5"/>
      <c r="K1593" s="5"/>
      <c r="AT1593" s="5"/>
      <c r="AU1593" s="5"/>
      <c r="AV1593" s="5"/>
      <c r="AW1593" s="5"/>
      <c r="AX1593" s="5"/>
    </row>
    <row r="1594" spans="8:50" x14ac:dyDescent="0.2">
      <c r="H1594" s="5"/>
      <c r="I1594" s="5"/>
      <c r="J1594" s="5"/>
      <c r="K1594" s="5"/>
      <c r="AT1594" s="5"/>
      <c r="AU1594" s="5"/>
      <c r="AV1594" s="5"/>
      <c r="AW1594" s="5"/>
      <c r="AX1594" s="5"/>
    </row>
    <row r="1595" spans="8:50" x14ac:dyDescent="0.2">
      <c r="H1595" s="5"/>
      <c r="I1595" s="5"/>
      <c r="J1595" s="5"/>
      <c r="K1595" s="5"/>
      <c r="AT1595" s="5"/>
      <c r="AU1595" s="5"/>
      <c r="AV1595" s="5"/>
      <c r="AW1595" s="5"/>
      <c r="AX1595" s="5"/>
    </row>
    <row r="1596" spans="8:50" x14ac:dyDescent="0.2">
      <c r="H1596" s="5"/>
      <c r="I1596" s="5"/>
      <c r="J1596" s="5"/>
      <c r="K1596" s="5"/>
      <c r="AT1596" s="5"/>
      <c r="AU1596" s="5"/>
      <c r="AV1596" s="5"/>
      <c r="AW1596" s="5"/>
      <c r="AX1596" s="5"/>
    </row>
    <row r="1597" spans="8:50" x14ac:dyDescent="0.2">
      <c r="H1597" s="5"/>
      <c r="I1597" s="5"/>
      <c r="J1597" s="5"/>
      <c r="K1597" s="5"/>
      <c r="AT1597" s="5"/>
      <c r="AU1597" s="5"/>
      <c r="AV1597" s="5"/>
      <c r="AW1597" s="5"/>
      <c r="AX1597" s="5"/>
    </row>
    <row r="1598" spans="8:50" x14ac:dyDescent="0.2">
      <c r="H1598" s="5"/>
      <c r="I1598" s="5"/>
      <c r="J1598" s="5"/>
      <c r="K1598" s="5"/>
      <c r="AT1598" s="5"/>
      <c r="AU1598" s="5"/>
      <c r="AV1598" s="5"/>
      <c r="AW1598" s="5"/>
      <c r="AX1598" s="5"/>
    </row>
    <row r="1599" spans="8:50" x14ac:dyDescent="0.2">
      <c r="H1599" s="5"/>
      <c r="I1599" s="5"/>
      <c r="J1599" s="5"/>
      <c r="K1599" s="5"/>
      <c r="AT1599" s="5"/>
      <c r="AU1599" s="5"/>
      <c r="AV1599" s="5"/>
      <c r="AW1599" s="5"/>
      <c r="AX1599" s="5"/>
    </row>
    <row r="1600" spans="8:50" x14ac:dyDescent="0.2">
      <c r="H1600" s="5"/>
      <c r="I1600" s="5"/>
      <c r="J1600" s="5"/>
      <c r="K1600" s="5"/>
      <c r="AT1600" s="5"/>
      <c r="AU1600" s="5"/>
      <c r="AV1600" s="5"/>
      <c r="AW1600" s="5"/>
      <c r="AX1600" s="5"/>
    </row>
    <row r="1601" spans="8:50" x14ac:dyDescent="0.2">
      <c r="H1601" s="5"/>
      <c r="I1601" s="5"/>
      <c r="J1601" s="5"/>
      <c r="K1601" s="5"/>
      <c r="AT1601" s="5"/>
      <c r="AU1601" s="5"/>
      <c r="AV1601" s="5"/>
      <c r="AW1601" s="5"/>
      <c r="AX1601" s="5"/>
    </row>
    <row r="1602" spans="8:50" x14ac:dyDescent="0.2">
      <c r="H1602" s="5"/>
      <c r="I1602" s="5"/>
      <c r="J1602" s="5"/>
      <c r="K1602" s="5"/>
      <c r="AT1602" s="5"/>
      <c r="AU1602" s="5"/>
      <c r="AV1602" s="5"/>
      <c r="AW1602" s="5"/>
      <c r="AX1602" s="5"/>
    </row>
    <row r="1603" spans="8:50" x14ac:dyDescent="0.2">
      <c r="H1603" s="5"/>
      <c r="I1603" s="5"/>
      <c r="J1603" s="5"/>
      <c r="K1603" s="5"/>
      <c r="AT1603" s="5"/>
      <c r="AU1603" s="5"/>
      <c r="AV1603" s="5"/>
      <c r="AW1603" s="5"/>
      <c r="AX1603" s="5"/>
    </row>
    <row r="1604" spans="8:50" x14ac:dyDescent="0.2">
      <c r="H1604" s="5"/>
      <c r="I1604" s="5"/>
      <c r="J1604" s="5"/>
      <c r="K1604" s="5"/>
      <c r="AT1604" s="5"/>
      <c r="AU1604" s="5"/>
      <c r="AV1604" s="5"/>
      <c r="AW1604" s="5"/>
      <c r="AX1604" s="5"/>
    </row>
    <row r="1605" spans="8:50" x14ac:dyDescent="0.2">
      <c r="H1605" s="5"/>
      <c r="I1605" s="5"/>
      <c r="J1605" s="5"/>
      <c r="K1605" s="5"/>
      <c r="AT1605" s="5"/>
      <c r="AU1605" s="5"/>
      <c r="AV1605" s="5"/>
      <c r="AW1605" s="5"/>
      <c r="AX1605" s="5"/>
    </row>
    <row r="1606" spans="8:50" x14ac:dyDescent="0.2">
      <c r="H1606" s="5"/>
      <c r="I1606" s="5"/>
      <c r="J1606" s="5"/>
      <c r="K1606" s="5"/>
      <c r="AT1606" s="5"/>
      <c r="AU1606" s="5"/>
      <c r="AV1606" s="5"/>
      <c r="AW1606" s="5"/>
      <c r="AX1606" s="5"/>
    </row>
    <row r="1607" spans="8:50" x14ac:dyDescent="0.2">
      <c r="H1607" s="5"/>
      <c r="I1607" s="5"/>
      <c r="J1607" s="5"/>
      <c r="K1607" s="5"/>
      <c r="AT1607" s="5"/>
      <c r="AU1607" s="5"/>
      <c r="AV1607" s="5"/>
      <c r="AW1607" s="5"/>
      <c r="AX1607" s="5"/>
    </row>
    <row r="1608" spans="8:50" x14ac:dyDescent="0.2">
      <c r="H1608" s="5"/>
      <c r="I1608" s="5"/>
      <c r="J1608" s="5"/>
      <c r="K1608" s="5"/>
      <c r="AT1608" s="5"/>
      <c r="AU1608" s="5"/>
      <c r="AV1608" s="5"/>
      <c r="AW1608" s="5"/>
      <c r="AX1608" s="5"/>
    </row>
    <row r="1609" spans="8:50" x14ac:dyDescent="0.2">
      <c r="H1609" s="5"/>
      <c r="I1609" s="5"/>
      <c r="J1609" s="5"/>
      <c r="K1609" s="5"/>
      <c r="AT1609" s="5"/>
      <c r="AU1609" s="5"/>
      <c r="AV1609" s="5"/>
      <c r="AW1609" s="5"/>
      <c r="AX1609" s="5"/>
    </row>
    <row r="1610" spans="8:50" x14ac:dyDescent="0.2">
      <c r="H1610" s="5"/>
      <c r="I1610" s="5"/>
      <c r="J1610" s="5"/>
      <c r="K1610" s="5"/>
      <c r="AT1610" s="5"/>
      <c r="AU1610" s="5"/>
      <c r="AV1610" s="5"/>
      <c r="AW1610" s="5"/>
      <c r="AX1610" s="5"/>
    </row>
    <row r="1611" spans="8:50" x14ac:dyDescent="0.2">
      <c r="H1611" s="5"/>
      <c r="I1611" s="5"/>
      <c r="J1611" s="5"/>
      <c r="K1611" s="5"/>
      <c r="AT1611" s="5"/>
      <c r="AU1611" s="5"/>
      <c r="AV1611" s="5"/>
      <c r="AW1611" s="5"/>
      <c r="AX1611" s="5"/>
    </row>
    <row r="1612" spans="8:50" x14ac:dyDescent="0.2">
      <c r="H1612" s="5"/>
      <c r="I1612" s="5"/>
      <c r="J1612" s="5"/>
      <c r="K1612" s="5"/>
      <c r="AT1612" s="5"/>
      <c r="AU1612" s="5"/>
      <c r="AV1612" s="5"/>
      <c r="AW1612" s="5"/>
      <c r="AX1612" s="5"/>
    </row>
    <row r="1613" spans="8:50" x14ac:dyDescent="0.2">
      <c r="H1613" s="5"/>
      <c r="I1613" s="5"/>
      <c r="J1613" s="5"/>
      <c r="K1613" s="5"/>
      <c r="AT1613" s="5"/>
      <c r="AU1613" s="5"/>
      <c r="AV1613" s="5"/>
      <c r="AW1613" s="5"/>
      <c r="AX1613" s="5"/>
    </row>
    <row r="1614" spans="8:50" x14ac:dyDescent="0.2">
      <c r="H1614" s="5"/>
      <c r="I1614" s="5"/>
      <c r="J1614" s="5"/>
      <c r="K1614" s="5"/>
      <c r="AT1614" s="5"/>
      <c r="AU1614" s="5"/>
      <c r="AV1614" s="5"/>
      <c r="AW1614" s="5"/>
      <c r="AX1614" s="5"/>
    </row>
    <row r="1615" spans="8:50" x14ac:dyDescent="0.2">
      <c r="H1615" s="5"/>
      <c r="I1615" s="5"/>
      <c r="J1615" s="5"/>
      <c r="K1615" s="5"/>
      <c r="AT1615" s="5"/>
      <c r="AU1615" s="5"/>
      <c r="AV1615" s="5"/>
      <c r="AW1615" s="5"/>
      <c r="AX1615" s="5"/>
    </row>
    <row r="1616" spans="8:50" x14ac:dyDescent="0.2">
      <c r="H1616" s="5"/>
      <c r="I1616" s="5"/>
      <c r="J1616" s="5"/>
      <c r="K1616" s="5"/>
      <c r="AT1616" s="5"/>
      <c r="AU1616" s="5"/>
      <c r="AV1616" s="5"/>
      <c r="AW1616" s="5"/>
      <c r="AX1616" s="5"/>
    </row>
    <row r="1617" spans="8:50" x14ac:dyDescent="0.2">
      <c r="H1617" s="5"/>
      <c r="I1617" s="5"/>
      <c r="J1617" s="5"/>
      <c r="K1617" s="5"/>
      <c r="AT1617" s="5"/>
      <c r="AU1617" s="5"/>
      <c r="AV1617" s="5"/>
      <c r="AW1617" s="5"/>
      <c r="AX1617" s="5"/>
    </row>
    <row r="1618" spans="8:50" x14ac:dyDescent="0.2">
      <c r="H1618" s="5"/>
      <c r="I1618" s="5"/>
      <c r="J1618" s="5"/>
      <c r="K1618" s="5"/>
      <c r="AT1618" s="5"/>
      <c r="AU1618" s="5"/>
      <c r="AV1618" s="5"/>
      <c r="AW1618" s="5"/>
      <c r="AX1618" s="5"/>
    </row>
    <row r="1619" spans="8:50" x14ac:dyDescent="0.2">
      <c r="H1619" s="5"/>
      <c r="I1619" s="5"/>
      <c r="J1619" s="5"/>
      <c r="K1619" s="5"/>
      <c r="AT1619" s="5"/>
      <c r="AU1619" s="5"/>
      <c r="AV1619" s="5"/>
      <c r="AW1619" s="5"/>
      <c r="AX1619" s="5"/>
    </row>
    <row r="1620" spans="8:50" x14ac:dyDescent="0.2">
      <c r="H1620" s="5"/>
      <c r="I1620" s="5"/>
      <c r="J1620" s="5"/>
      <c r="K1620" s="5"/>
      <c r="AT1620" s="5"/>
      <c r="AU1620" s="5"/>
      <c r="AV1620" s="5"/>
      <c r="AW1620" s="5"/>
      <c r="AX1620" s="5"/>
    </row>
    <row r="1621" spans="8:50" x14ac:dyDescent="0.2">
      <c r="H1621" s="5"/>
      <c r="I1621" s="5"/>
      <c r="J1621" s="5"/>
      <c r="K1621" s="5"/>
      <c r="AT1621" s="5"/>
      <c r="AU1621" s="5"/>
      <c r="AV1621" s="5"/>
      <c r="AW1621" s="5"/>
      <c r="AX1621" s="5"/>
    </row>
    <row r="1622" spans="8:50" x14ac:dyDescent="0.2">
      <c r="H1622" s="5"/>
      <c r="I1622" s="5"/>
      <c r="J1622" s="5"/>
      <c r="K1622" s="5"/>
      <c r="AT1622" s="5"/>
      <c r="AU1622" s="5"/>
      <c r="AV1622" s="5"/>
      <c r="AW1622" s="5"/>
      <c r="AX1622" s="5"/>
    </row>
    <row r="1623" spans="8:50" x14ac:dyDescent="0.2">
      <c r="H1623" s="5"/>
      <c r="I1623" s="5"/>
      <c r="J1623" s="5"/>
      <c r="K1623" s="5"/>
      <c r="AT1623" s="5"/>
      <c r="AU1623" s="5"/>
      <c r="AV1623" s="5"/>
      <c r="AW1623" s="5"/>
      <c r="AX1623" s="5"/>
    </row>
    <row r="1624" spans="8:50" x14ac:dyDescent="0.2">
      <c r="H1624" s="5"/>
      <c r="I1624" s="5"/>
      <c r="J1624" s="5"/>
      <c r="K1624" s="5"/>
      <c r="AT1624" s="5"/>
      <c r="AU1624" s="5"/>
      <c r="AV1624" s="5"/>
      <c r="AW1624" s="5"/>
      <c r="AX1624" s="5"/>
    </row>
    <row r="1625" spans="8:50" x14ac:dyDescent="0.2">
      <c r="H1625" s="5"/>
      <c r="I1625" s="5"/>
      <c r="J1625" s="5"/>
      <c r="K1625" s="5"/>
      <c r="AT1625" s="5"/>
      <c r="AU1625" s="5"/>
      <c r="AV1625" s="5"/>
      <c r="AW1625" s="5"/>
      <c r="AX1625" s="5"/>
    </row>
    <row r="1626" spans="8:50" x14ac:dyDescent="0.2">
      <c r="H1626" s="5"/>
      <c r="I1626" s="5"/>
      <c r="J1626" s="5"/>
      <c r="K1626" s="5"/>
      <c r="AT1626" s="5"/>
      <c r="AU1626" s="5"/>
      <c r="AV1626" s="5"/>
      <c r="AW1626" s="5"/>
      <c r="AX1626" s="5"/>
    </row>
    <row r="1627" spans="8:50" x14ac:dyDescent="0.2">
      <c r="H1627" s="5"/>
      <c r="I1627" s="5"/>
      <c r="J1627" s="5"/>
      <c r="K1627" s="5"/>
      <c r="AT1627" s="5"/>
      <c r="AU1627" s="5"/>
      <c r="AV1627" s="5"/>
      <c r="AW1627" s="5"/>
      <c r="AX1627" s="5"/>
    </row>
    <row r="1628" spans="8:50" x14ac:dyDescent="0.2">
      <c r="H1628" s="5"/>
      <c r="I1628" s="5"/>
      <c r="J1628" s="5"/>
      <c r="K1628" s="5"/>
      <c r="AT1628" s="5"/>
      <c r="AU1628" s="5"/>
      <c r="AV1628" s="5"/>
      <c r="AW1628" s="5"/>
      <c r="AX1628" s="5"/>
    </row>
    <row r="1629" spans="8:50" x14ac:dyDescent="0.2">
      <c r="H1629" s="5"/>
      <c r="I1629" s="5"/>
      <c r="J1629" s="5"/>
      <c r="K1629" s="5"/>
      <c r="AT1629" s="5"/>
      <c r="AU1629" s="5"/>
      <c r="AV1629" s="5"/>
      <c r="AW1629" s="5"/>
      <c r="AX1629" s="5"/>
    </row>
    <row r="1630" spans="8:50" x14ac:dyDescent="0.2">
      <c r="H1630" s="5"/>
      <c r="I1630" s="5"/>
      <c r="J1630" s="5"/>
      <c r="K1630" s="5"/>
      <c r="AT1630" s="5"/>
      <c r="AU1630" s="5"/>
      <c r="AV1630" s="5"/>
      <c r="AW1630" s="5"/>
      <c r="AX1630" s="5"/>
    </row>
    <row r="1631" spans="8:50" x14ac:dyDescent="0.2">
      <c r="H1631" s="5"/>
      <c r="I1631" s="5"/>
      <c r="J1631" s="5"/>
      <c r="K1631" s="5"/>
      <c r="AT1631" s="5"/>
      <c r="AU1631" s="5"/>
      <c r="AV1631" s="5"/>
      <c r="AW1631" s="5"/>
      <c r="AX1631" s="5"/>
    </row>
    <row r="1632" spans="8:50" x14ac:dyDescent="0.2">
      <c r="H1632" s="5"/>
      <c r="I1632" s="5"/>
      <c r="J1632" s="5"/>
      <c r="K1632" s="5"/>
      <c r="AT1632" s="5"/>
      <c r="AU1632" s="5"/>
      <c r="AV1632" s="5"/>
      <c r="AW1632" s="5"/>
      <c r="AX1632" s="5"/>
    </row>
    <row r="1633" spans="8:50" x14ac:dyDescent="0.2">
      <c r="H1633" s="5"/>
      <c r="I1633" s="5"/>
      <c r="J1633" s="5"/>
      <c r="K1633" s="5"/>
      <c r="AT1633" s="5"/>
      <c r="AU1633" s="5"/>
      <c r="AV1633" s="5"/>
      <c r="AW1633" s="5"/>
      <c r="AX1633" s="5"/>
    </row>
    <row r="1634" spans="8:50" x14ac:dyDescent="0.2">
      <c r="H1634" s="5"/>
      <c r="I1634" s="5"/>
      <c r="J1634" s="5"/>
      <c r="K1634" s="5"/>
      <c r="AT1634" s="5"/>
      <c r="AU1634" s="5"/>
      <c r="AV1634" s="5"/>
      <c r="AW1634" s="5"/>
      <c r="AX1634" s="5"/>
    </row>
    <row r="1635" spans="8:50" x14ac:dyDescent="0.2">
      <c r="H1635" s="5"/>
      <c r="I1635" s="5"/>
      <c r="J1635" s="5"/>
      <c r="K1635" s="5"/>
      <c r="AT1635" s="5"/>
      <c r="AU1635" s="5"/>
      <c r="AV1635" s="5"/>
      <c r="AW1635" s="5"/>
      <c r="AX1635" s="5"/>
    </row>
    <row r="1636" spans="8:50" x14ac:dyDescent="0.2">
      <c r="H1636" s="5"/>
      <c r="I1636" s="5"/>
      <c r="J1636" s="5"/>
      <c r="K1636" s="5"/>
      <c r="AT1636" s="5"/>
      <c r="AU1636" s="5"/>
      <c r="AV1636" s="5"/>
      <c r="AW1636" s="5"/>
      <c r="AX1636" s="5"/>
    </row>
    <row r="1637" spans="8:50" x14ac:dyDescent="0.2">
      <c r="H1637" s="5"/>
      <c r="I1637" s="5"/>
      <c r="J1637" s="5"/>
      <c r="K1637" s="5"/>
      <c r="AT1637" s="5"/>
      <c r="AU1637" s="5"/>
      <c r="AV1637" s="5"/>
      <c r="AW1637" s="5"/>
      <c r="AX1637" s="5"/>
    </row>
    <row r="1638" spans="8:50" x14ac:dyDescent="0.2">
      <c r="H1638" s="5"/>
      <c r="I1638" s="5"/>
      <c r="J1638" s="5"/>
      <c r="K1638" s="5"/>
      <c r="AT1638" s="5"/>
      <c r="AU1638" s="5"/>
      <c r="AV1638" s="5"/>
      <c r="AW1638" s="5"/>
      <c r="AX1638" s="5"/>
    </row>
    <row r="1639" spans="8:50" x14ac:dyDescent="0.2">
      <c r="H1639" s="5"/>
      <c r="I1639" s="5"/>
      <c r="J1639" s="5"/>
      <c r="K1639" s="5"/>
      <c r="AT1639" s="5"/>
      <c r="AU1639" s="5"/>
      <c r="AV1639" s="5"/>
      <c r="AW1639" s="5"/>
      <c r="AX1639" s="5"/>
    </row>
    <row r="1640" spans="8:50" x14ac:dyDescent="0.2">
      <c r="H1640" s="5"/>
      <c r="I1640" s="5"/>
      <c r="J1640" s="5"/>
      <c r="K1640" s="5"/>
      <c r="AT1640" s="5"/>
      <c r="AU1640" s="5"/>
      <c r="AV1640" s="5"/>
      <c r="AW1640" s="5"/>
      <c r="AX1640" s="5"/>
    </row>
    <row r="1641" spans="8:50" x14ac:dyDescent="0.2">
      <c r="H1641" s="5"/>
      <c r="I1641" s="5"/>
      <c r="J1641" s="5"/>
      <c r="K1641" s="5"/>
      <c r="AT1641" s="5"/>
      <c r="AU1641" s="5"/>
      <c r="AV1641" s="5"/>
      <c r="AW1641" s="5"/>
      <c r="AX1641" s="5"/>
    </row>
    <row r="1642" spans="8:50" x14ac:dyDescent="0.2">
      <c r="H1642" s="5"/>
      <c r="I1642" s="5"/>
      <c r="J1642" s="5"/>
      <c r="K1642" s="5"/>
      <c r="AT1642" s="5"/>
      <c r="AU1642" s="5"/>
      <c r="AV1642" s="5"/>
      <c r="AW1642" s="5"/>
      <c r="AX1642" s="5"/>
    </row>
    <row r="1643" spans="8:50" x14ac:dyDescent="0.2">
      <c r="H1643" s="5"/>
      <c r="I1643" s="5"/>
      <c r="J1643" s="5"/>
      <c r="K1643" s="5"/>
      <c r="AT1643" s="5"/>
      <c r="AU1643" s="5"/>
      <c r="AV1643" s="5"/>
      <c r="AW1643" s="5"/>
      <c r="AX1643" s="5"/>
    </row>
    <row r="1644" spans="8:50" x14ac:dyDescent="0.2">
      <c r="H1644" s="5"/>
      <c r="I1644" s="5"/>
      <c r="J1644" s="5"/>
      <c r="K1644" s="5"/>
      <c r="AT1644" s="5"/>
      <c r="AU1644" s="5"/>
      <c r="AV1644" s="5"/>
      <c r="AW1644" s="5"/>
      <c r="AX1644" s="5"/>
    </row>
    <row r="1645" spans="8:50" x14ac:dyDescent="0.2">
      <c r="H1645" s="5"/>
      <c r="I1645" s="5"/>
      <c r="J1645" s="5"/>
      <c r="K1645" s="5"/>
      <c r="AT1645" s="5"/>
      <c r="AU1645" s="5"/>
      <c r="AV1645" s="5"/>
      <c r="AW1645" s="5"/>
      <c r="AX1645" s="5"/>
    </row>
    <row r="1646" spans="8:50" x14ac:dyDescent="0.2">
      <c r="H1646" s="5"/>
      <c r="I1646" s="5"/>
      <c r="J1646" s="5"/>
      <c r="K1646" s="5"/>
      <c r="AT1646" s="5"/>
      <c r="AU1646" s="5"/>
      <c r="AV1646" s="5"/>
      <c r="AW1646" s="5"/>
      <c r="AX1646" s="5"/>
    </row>
    <row r="1647" spans="8:50" x14ac:dyDescent="0.2">
      <c r="H1647" s="5"/>
      <c r="I1647" s="5"/>
      <c r="J1647" s="5"/>
      <c r="K1647" s="5"/>
      <c r="AT1647" s="5"/>
      <c r="AU1647" s="5"/>
      <c r="AV1647" s="5"/>
      <c r="AW1647" s="5"/>
      <c r="AX1647" s="5"/>
    </row>
    <row r="1648" spans="8:50" x14ac:dyDescent="0.2">
      <c r="H1648" s="5"/>
      <c r="I1648" s="5"/>
      <c r="J1648" s="5"/>
      <c r="K1648" s="5"/>
      <c r="AT1648" s="5"/>
      <c r="AU1648" s="5"/>
      <c r="AV1648" s="5"/>
      <c r="AW1648" s="5"/>
      <c r="AX1648" s="5"/>
    </row>
    <row r="1649" spans="8:50" x14ac:dyDescent="0.2">
      <c r="H1649" s="5"/>
      <c r="I1649" s="5"/>
      <c r="J1649" s="5"/>
      <c r="K1649" s="5"/>
      <c r="AT1649" s="5"/>
      <c r="AU1649" s="5"/>
      <c r="AV1649" s="5"/>
      <c r="AW1649" s="5"/>
      <c r="AX1649" s="5"/>
    </row>
    <row r="1650" spans="8:50" x14ac:dyDescent="0.2">
      <c r="H1650" s="5"/>
      <c r="I1650" s="5"/>
      <c r="J1650" s="5"/>
      <c r="K1650" s="5"/>
      <c r="AT1650" s="5"/>
      <c r="AU1650" s="5"/>
      <c r="AV1650" s="5"/>
      <c r="AW1650" s="5"/>
      <c r="AX1650" s="5"/>
    </row>
    <row r="1651" spans="8:50" x14ac:dyDescent="0.2">
      <c r="H1651" s="5"/>
      <c r="I1651" s="5"/>
      <c r="J1651" s="5"/>
      <c r="K1651" s="5"/>
      <c r="AT1651" s="5"/>
      <c r="AU1651" s="5"/>
      <c r="AV1651" s="5"/>
      <c r="AW1651" s="5"/>
      <c r="AX1651" s="5"/>
    </row>
    <row r="1652" spans="8:50" x14ac:dyDescent="0.2">
      <c r="H1652" s="5"/>
      <c r="I1652" s="5"/>
      <c r="J1652" s="5"/>
      <c r="K1652" s="5"/>
      <c r="AT1652" s="5"/>
      <c r="AU1652" s="5"/>
      <c r="AV1652" s="5"/>
      <c r="AW1652" s="5"/>
      <c r="AX1652" s="5"/>
    </row>
    <row r="1653" spans="8:50" x14ac:dyDescent="0.2">
      <c r="H1653" s="5"/>
      <c r="I1653" s="5"/>
      <c r="J1653" s="5"/>
      <c r="K1653" s="5"/>
      <c r="AT1653" s="5"/>
      <c r="AU1653" s="5"/>
      <c r="AV1653" s="5"/>
      <c r="AW1653" s="5"/>
      <c r="AX1653" s="5"/>
    </row>
    <row r="1654" spans="8:50" x14ac:dyDescent="0.2">
      <c r="H1654" s="5"/>
      <c r="I1654" s="5"/>
      <c r="J1654" s="5"/>
      <c r="K1654" s="5"/>
      <c r="AT1654" s="5"/>
      <c r="AU1654" s="5"/>
      <c r="AV1654" s="5"/>
      <c r="AW1654" s="5"/>
      <c r="AX1654" s="5"/>
    </row>
    <row r="1655" spans="8:50" x14ac:dyDescent="0.2">
      <c r="H1655" s="5"/>
      <c r="I1655" s="5"/>
      <c r="J1655" s="5"/>
      <c r="K1655" s="5"/>
      <c r="AT1655" s="5"/>
      <c r="AU1655" s="5"/>
      <c r="AV1655" s="5"/>
      <c r="AW1655" s="5"/>
      <c r="AX1655" s="5"/>
    </row>
    <row r="1656" spans="8:50" x14ac:dyDescent="0.2">
      <c r="H1656" s="5"/>
      <c r="I1656" s="5"/>
      <c r="J1656" s="5"/>
      <c r="K1656" s="5"/>
      <c r="AT1656" s="5"/>
      <c r="AU1656" s="5"/>
      <c r="AV1656" s="5"/>
      <c r="AW1656" s="5"/>
      <c r="AX1656" s="5"/>
    </row>
    <row r="1657" spans="8:50" x14ac:dyDescent="0.2">
      <c r="H1657" s="5"/>
      <c r="I1657" s="5"/>
      <c r="J1657" s="5"/>
      <c r="K1657" s="5"/>
      <c r="AT1657" s="5"/>
      <c r="AU1657" s="5"/>
      <c r="AV1657" s="5"/>
      <c r="AW1657" s="5"/>
      <c r="AX1657" s="5"/>
    </row>
    <row r="1658" spans="8:50" x14ac:dyDescent="0.2">
      <c r="H1658" s="5"/>
      <c r="I1658" s="5"/>
      <c r="J1658" s="5"/>
      <c r="K1658" s="5"/>
      <c r="AT1658" s="5"/>
      <c r="AU1658" s="5"/>
      <c r="AV1658" s="5"/>
      <c r="AW1658" s="5"/>
      <c r="AX1658" s="5"/>
    </row>
    <row r="1659" spans="8:50" x14ac:dyDescent="0.2">
      <c r="H1659" s="5"/>
      <c r="I1659" s="5"/>
      <c r="J1659" s="5"/>
      <c r="K1659" s="5"/>
      <c r="AT1659" s="5"/>
      <c r="AU1659" s="5"/>
      <c r="AV1659" s="5"/>
      <c r="AW1659" s="5"/>
      <c r="AX1659" s="5"/>
    </row>
    <row r="1660" spans="8:50" x14ac:dyDescent="0.2">
      <c r="H1660" s="5"/>
      <c r="I1660" s="5"/>
      <c r="J1660" s="5"/>
      <c r="K1660" s="5"/>
      <c r="AT1660" s="5"/>
      <c r="AU1660" s="5"/>
      <c r="AV1660" s="5"/>
      <c r="AW1660" s="5"/>
      <c r="AX1660" s="5"/>
    </row>
    <row r="1661" spans="8:50" x14ac:dyDescent="0.2">
      <c r="H1661" s="5"/>
      <c r="I1661" s="5"/>
      <c r="J1661" s="5"/>
      <c r="K1661" s="5"/>
      <c r="AT1661" s="5"/>
      <c r="AU1661" s="5"/>
      <c r="AV1661" s="5"/>
      <c r="AW1661" s="5"/>
      <c r="AX1661" s="5"/>
    </row>
    <row r="1662" spans="8:50" x14ac:dyDescent="0.2">
      <c r="H1662" s="5"/>
      <c r="I1662" s="5"/>
      <c r="J1662" s="5"/>
      <c r="K1662" s="5"/>
      <c r="AT1662" s="5"/>
      <c r="AU1662" s="5"/>
      <c r="AV1662" s="5"/>
      <c r="AW1662" s="5"/>
      <c r="AX1662" s="5"/>
    </row>
    <row r="1663" spans="8:50" x14ac:dyDescent="0.2">
      <c r="H1663" s="5"/>
      <c r="I1663" s="5"/>
      <c r="J1663" s="5"/>
      <c r="K1663" s="5"/>
      <c r="AT1663" s="5"/>
      <c r="AU1663" s="5"/>
      <c r="AV1663" s="5"/>
      <c r="AW1663" s="5"/>
      <c r="AX1663" s="5"/>
    </row>
    <row r="1664" spans="8:50" x14ac:dyDescent="0.2">
      <c r="H1664" s="5"/>
      <c r="I1664" s="5"/>
      <c r="J1664" s="5"/>
      <c r="K1664" s="5"/>
      <c r="AT1664" s="5"/>
      <c r="AU1664" s="5"/>
      <c r="AV1664" s="5"/>
      <c r="AW1664" s="5"/>
      <c r="AX1664" s="5"/>
    </row>
    <row r="1665" spans="8:50" x14ac:dyDescent="0.2">
      <c r="H1665" s="5"/>
      <c r="I1665" s="5"/>
      <c r="J1665" s="5"/>
      <c r="K1665" s="5"/>
      <c r="AT1665" s="5"/>
      <c r="AU1665" s="5"/>
      <c r="AV1665" s="5"/>
      <c r="AW1665" s="5"/>
      <c r="AX1665" s="5"/>
    </row>
    <row r="1666" spans="8:50" x14ac:dyDescent="0.2">
      <c r="H1666" s="5"/>
      <c r="I1666" s="5"/>
      <c r="J1666" s="5"/>
      <c r="K1666" s="5"/>
      <c r="AT1666" s="5"/>
      <c r="AU1666" s="5"/>
      <c r="AV1666" s="5"/>
      <c r="AW1666" s="5"/>
      <c r="AX1666" s="5"/>
    </row>
    <row r="1667" spans="8:50" x14ac:dyDescent="0.2">
      <c r="H1667" s="5"/>
      <c r="I1667" s="5"/>
      <c r="J1667" s="5"/>
      <c r="K1667" s="5"/>
      <c r="AT1667" s="5"/>
      <c r="AU1667" s="5"/>
      <c r="AV1667" s="5"/>
      <c r="AW1667" s="5"/>
      <c r="AX1667" s="5"/>
    </row>
    <row r="1668" spans="8:50" x14ac:dyDescent="0.2">
      <c r="H1668" s="5"/>
      <c r="I1668" s="5"/>
      <c r="J1668" s="5"/>
      <c r="K1668" s="5"/>
      <c r="AT1668" s="5"/>
      <c r="AU1668" s="5"/>
      <c r="AV1668" s="5"/>
      <c r="AW1668" s="5"/>
      <c r="AX1668" s="5"/>
    </row>
    <row r="1669" spans="8:50" x14ac:dyDescent="0.2">
      <c r="H1669" s="5"/>
      <c r="I1669" s="5"/>
      <c r="J1669" s="5"/>
      <c r="K1669" s="5"/>
      <c r="AT1669" s="5"/>
      <c r="AU1669" s="5"/>
      <c r="AV1669" s="5"/>
      <c r="AW1669" s="5"/>
      <c r="AX1669" s="5"/>
    </row>
    <row r="1670" spans="8:50" x14ac:dyDescent="0.2">
      <c r="H1670" s="5"/>
      <c r="I1670" s="5"/>
      <c r="J1670" s="5"/>
      <c r="K1670" s="5"/>
      <c r="AT1670" s="5"/>
      <c r="AU1670" s="5"/>
      <c r="AV1670" s="5"/>
      <c r="AW1670" s="5"/>
      <c r="AX1670" s="5"/>
    </row>
    <row r="1671" spans="8:50" x14ac:dyDescent="0.2">
      <c r="H1671" s="5"/>
      <c r="I1671" s="5"/>
      <c r="J1671" s="5"/>
      <c r="K1671" s="5"/>
      <c r="AT1671" s="5"/>
      <c r="AU1671" s="5"/>
      <c r="AV1671" s="5"/>
      <c r="AW1671" s="5"/>
      <c r="AX1671" s="5"/>
    </row>
    <row r="1672" spans="8:50" x14ac:dyDescent="0.2">
      <c r="H1672" s="5"/>
      <c r="I1672" s="5"/>
      <c r="J1672" s="5"/>
      <c r="K1672" s="5"/>
      <c r="AT1672" s="5"/>
      <c r="AU1672" s="5"/>
      <c r="AV1672" s="5"/>
      <c r="AW1672" s="5"/>
      <c r="AX1672" s="5"/>
    </row>
    <row r="1673" spans="8:50" x14ac:dyDescent="0.2">
      <c r="H1673" s="5"/>
      <c r="I1673" s="5"/>
      <c r="J1673" s="5"/>
      <c r="K1673" s="5"/>
      <c r="AT1673" s="5"/>
      <c r="AU1673" s="5"/>
      <c r="AV1673" s="5"/>
      <c r="AW1673" s="5"/>
      <c r="AX1673" s="5"/>
    </row>
    <row r="1674" spans="8:50" x14ac:dyDescent="0.2">
      <c r="H1674" s="5"/>
      <c r="I1674" s="5"/>
      <c r="J1674" s="5"/>
      <c r="K1674" s="5"/>
      <c r="AT1674" s="5"/>
      <c r="AU1674" s="5"/>
      <c r="AV1674" s="5"/>
      <c r="AW1674" s="5"/>
      <c r="AX1674" s="5"/>
    </row>
    <row r="1675" spans="8:50" x14ac:dyDescent="0.2">
      <c r="H1675" s="5"/>
      <c r="I1675" s="5"/>
      <c r="J1675" s="5"/>
      <c r="K1675" s="5"/>
      <c r="AT1675" s="5"/>
      <c r="AU1675" s="5"/>
      <c r="AV1675" s="5"/>
      <c r="AW1675" s="5"/>
      <c r="AX1675" s="5"/>
    </row>
    <row r="1676" spans="8:50" x14ac:dyDescent="0.2">
      <c r="H1676" s="5"/>
      <c r="I1676" s="5"/>
      <c r="J1676" s="5"/>
      <c r="K1676" s="5"/>
      <c r="AT1676" s="5"/>
      <c r="AU1676" s="5"/>
      <c r="AV1676" s="5"/>
      <c r="AW1676" s="5"/>
      <c r="AX1676" s="5"/>
    </row>
    <row r="1677" spans="8:50" x14ac:dyDescent="0.2">
      <c r="H1677" s="5"/>
      <c r="I1677" s="5"/>
      <c r="J1677" s="5"/>
      <c r="K1677" s="5"/>
      <c r="AT1677" s="5"/>
      <c r="AU1677" s="5"/>
      <c r="AV1677" s="5"/>
      <c r="AW1677" s="5"/>
      <c r="AX1677" s="5"/>
    </row>
    <row r="1678" spans="8:50" x14ac:dyDescent="0.2">
      <c r="H1678" s="5"/>
      <c r="I1678" s="5"/>
      <c r="J1678" s="5"/>
      <c r="K1678" s="5"/>
      <c r="AT1678" s="5"/>
      <c r="AU1678" s="5"/>
      <c r="AV1678" s="5"/>
      <c r="AW1678" s="5"/>
      <c r="AX1678" s="5"/>
    </row>
    <row r="1679" spans="8:50" x14ac:dyDescent="0.2">
      <c r="H1679" s="5"/>
      <c r="I1679" s="5"/>
      <c r="J1679" s="5"/>
      <c r="K1679" s="5"/>
      <c r="AT1679" s="5"/>
      <c r="AU1679" s="5"/>
      <c r="AV1679" s="5"/>
      <c r="AW1679" s="5"/>
      <c r="AX1679" s="5"/>
    </row>
    <row r="1680" spans="8:50" x14ac:dyDescent="0.2">
      <c r="H1680" s="5"/>
      <c r="I1680" s="5"/>
      <c r="J1680" s="5"/>
      <c r="K1680" s="5"/>
      <c r="AT1680" s="5"/>
      <c r="AU1680" s="5"/>
      <c r="AV1680" s="5"/>
      <c r="AW1680" s="5"/>
      <c r="AX1680" s="5"/>
    </row>
    <row r="1681" spans="8:50" x14ac:dyDescent="0.2">
      <c r="H1681" s="5"/>
      <c r="I1681" s="5"/>
      <c r="J1681" s="5"/>
      <c r="K1681" s="5"/>
      <c r="AT1681" s="5"/>
      <c r="AU1681" s="5"/>
      <c r="AV1681" s="5"/>
      <c r="AW1681" s="5"/>
      <c r="AX1681" s="5"/>
    </row>
    <row r="1682" spans="8:50" x14ac:dyDescent="0.2">
      <c r="H1682" s="5"/>
      <c r="I1682" s="5"/>
      <c r="J1682" s="5"/>
      <c r="K1682" s="5"/>
      <c r="AT1682" s="5"/>
      <c r="AU1682" s="5"/>
      <c r="AV1682" s="5"/>
      <c r="AW1682" s="5"/>
      <c r="AX1682" s="5"/>
    </row>
    <row r="1683" spans="8:50" x14ac:dyDescent="0.2">
      <c r="H1683" s="5"/>
      <c r="I1683" s="5"/>
      <c r="J1683" s="5"/>
      <c r="K1683" s="5"/>
      <c r="AT1683" s="5"/>
      <c r="AU1683" s="5"/>
      <c r="AV1683" s="5"/>
      <c r="AW1683" s="5"/>
      <c r="AX1683" s="5"/>
    </row>
    <row r="1684" spans="8:50" x14ac:dyDescent="0.2">
      <c r="H1684" s="5"/>
      <c r="I1684" s="5"/>
      <c r="J1684" s="5"/>
      <c r="K1684" s="5"/>
      <c r="AT1684" s="5"/>
      <c r="AU1684" s="5"/>
      <c r="AV1684" s="5"/>
      <c r="AW1684" s="5"/>
      <c r="AX1684" s="5"/>
    </row>
    <row r="1685" spans="8:50" x14ac:dyDescent="0.2">
      <c r="H1685" s="5"/>
      <c r="I1685" s="5"/>
      <c r="J1685" s="5"/>
      <c r="K1685" s="5"/>
      <c r="AT1685" s="5"/>
      <c r="AU1685" s="5"/>
      <c r="AV1685" s="5"/>
      <c r="AW1685" s="5"/>
      <c r="AX1685" s="5"/>
    </row>
    <row r="1686" spans="8:50" x14ac:dyDescent="0.2">
      <c r="H1686" s="5"/>
      <c r="I1686" s="5"/>
      <c r="J1686" s="5"/>
      <c r="K1686" s="5"/>
      <c r="AT1686" s="5"/>
      <c r="AU1686" s="5"/>
      <c r="AV1686" s="5"/>
      <c r="AW1686" s="5"/>
      <c r="AX1686" s="5"/>
    </row>
    <row r="1687" spans="8:50" x14ac:dyDescent="0.2">
      <c r="H1687" s="5"/>
      <c r="I1687" s="5"/>
      <c r="J1687" s="5"/>
      <c r="K1687" s="5"/>
      <c r="AT1687" s="5"/>
      <c r="AU1687" s="5"/>
      <c r="AV1687" s="5"/>
      <c r="AW1687" s="5"/>
      <c r="AX1687" s="5"/>
    </row>
    <row r="1688" spans="8:50" x14ac:dyDescent="0.2">
      <c r="H1688" s="5"/>
      <c r="I1688" s="5"/>
      <c r="J1688" s="5"/>
      <c r="K1688" s="5"/>
      <c r="AT1688" s="5"/>
      <c r="AU1688" s="5"/>
      <c r="AV1688" s="5"/>
      <c r="AW1688" s="5"/>
      <c r="AX1688" s="5"/>
    </row>
    <row r="1689" spans="8:50" x14ac:dyDescent="0.2">
      <c r="H1689" s="5"/>
      <c r="I1689" s="5"/>
      <c r="J1689" s="5"/>
      <c r="K1689" s="5"/>
      <c r="AT1689" s="5"/>
      <c r="AU1689" s="5"/>
      <c r="AV1689" s="5"/>
      <c r="AW1689" s="5"/>
      <c r="AX1689" s="5"/>
    </row>
    <row r="1690" spans="8:50" x14ac:dyDescent="0.2">
      <c r="H1690" s="5"/>
      <c r="I1690" s="5"/>
      <c r="J1690" s="5"/>
      <c r="K1690" s="5"/>
      <c r="AT1690" s="5"/>
      <c r="AU1690" s="5"/>
      <c r="AV1690" s="5"/>
      <c r="AW1690" s="5"/>
      <c r="AX1690" s="5"/>
    </row>
    <row r="1691" spans="8:50" x14ac:dyDescent="0.2">
      <c r="H1691" s="5"/>
      <c r="I1691" s="5"/>
      <c r="J1691" s="5"/>
      <c r="K1691" s="5"/>
      <c r="AT1691" s="5"/>
      <c r="AU1691" s="5"/>
      <c r="AV1691" s="5"/>
      <c r="AW1691" s="5"/>
      <c r="AX1691" s="5"/>
    </row>
    <row r="1692" spans="8:50" x14ac:dyDescent="0.2">
      <c r="H1692" s="5"/>
      <c r="I1692" s="5"/>
      <c r="J1692" s="5"/>
      <c r="K1692" s="5"/>
      <c r="AT1692" s="5"/>
      <c r="AU1692" s="5"/>
      <c r="AV1692" s="5"/>
      <c r="AW1692" s="5"/>
      <c r="AX1692" s="5"/>
    </row>
    <row r="1693" spans="8:50" x14ac:dyDescent="0.2">
      <c r="H1693" s="5"/>
      <c r="I1693" s="5"/>
      <c r="J1693" s="5"/>
      <c r="K1693" s="5"/>
      <c r="AT1693" s="5"/>
      <c r="AU1693" s="5"/>
      <c r="AV1693" s="5"/>
      <c r="AW1693" s="5"/>
      <c r="AX1693" s="5"/>
    </row>
    <row r="1694" spans="8:50" x14ac:dyDescent="0.2">
      <c r="H1694" s="5"/>
      <c r="I1694" s="5"/>
      <c r="J1694" s="5"/>
      <c r="K1694" s="5"/>
      <c r="AT1694" s="5"/>
      <c r="AU1694" s="5"/>
      <c r="AV1694" s="5"/>
      <c r="AW1694" s="5"/>
      <c r="AX1694" s="5"/>
    </row>
    <row r="1695" spans="8:50" x14ac:dyDescent="0.2">
      <c r="H1695" s="5"/>
      <c r="I1695" s="5"/>
      <c r="J1695" s="5"/>
      <c r="K1695" s="5"/>
      <c r="AT1695" s="5"/>
      <c r="AU1695" s="5"/>
      <c r="AV1695" s="5"/>
      <c r="AW1695" s="5"/>
      <c r="AX1695" s="5"/>
    </row>
    <row r="1696" spans="8:50" x14ac:dyDescent="0.2">
      <c r="H1696" s="5"/>
      <c r="I1696" s="5"/>
      <c r="J1696" s="5"/>
      <c r="K1696" s="5"/>
      <c r="AT1696" s="5"/>
      <c r="AU1696" s="5"/>
      <c r="AV1696" s="5"/>
      <c r="AW1696" s="5"/>
      <c r="AX1696" s="5"/>
    </row>
    <row r="1697" spans="8:50" x14ac:dyDescent="0.2">
      <c r="H1697" s="5"/>
      <c r="I1697" s="5"/>
      <c r="J1697" s="5"/>
      <c r="K1697" s="5"/>
      <c r="AT1697" s="5"/>
      <c r="AU1697" s="5"/>
      <c r="AV1697" s="5"/>
      <c r="AW1697" s="5"/>
      <c r="AX1697" s="5"/>
    </row>
    <row r="1698" spans="8:50" x14ac:dyDescent="0.2">
      <c r="H1698" s="5"/>
      <c r="I1698" s="5"/>
      <c r="J1698" s="5"/>
      <c r="K1698" s="5"/>
      <c r="AT1698" s="5"/>
      <c r="AU1698" s="5"/>
      <c r="AV1698" s="5"/>
      <c r="AW1698" s="5"/>
      <c r="AX1698" s="5"/>
    </row>
    <row r="1699" spans="8:50" x14ac:dyDescent="0.2">
      <c r="H1699" s="5"/>
      <c r="I1699" s="5"/>
      <c r="J1699" s="5"/>
      <c r="K1699" s="5"/>
      <c r="AT1699" s="5"/>
      <c r="AU1699" s="5"/>
      <c r="AV1699" s="5"/>
      <c r="AW1699" s="5"/>
      <c r="AX1699" s="5"/>
    </row>
    <row r="1700" spans="8:50" x14ac:dyDescent="0.2">
      <c r="H1700" s="5"/>
      <c r="I1700" s="5"/>
      <c r="J1700" s="5"/>
      <c r="K1700" s="5"/>
      <c r="AT1700" s="5"/>
      <c r="AU1700" s="5"/>
      <c r="AV1700" s="5"/>
      <c r="AW1700" s="5"/>
      <c r="AX1700" s="5"/>
    </row>
    <row r="1701" spans="8:50" x14ac:dyDescent="0.2">
      <c r="H1701" s="5"/>
      <c r="I1701" s="5"/>
      <c r="J1701" s="5"/>
      <c r="K1701" s="5"/>
      <c r="AT1701" s="5"/>
      <c r="AU1701" s="5"/>
      <c r="AV1701" s="5"/>
      <c r="AW1701" s="5"/>
      <c r="AX1701" s="5"/>
    </row>
    <row r="1702" spans="8:50" x14ac:dyDescent="0.2">
      <c r="H1702" s="5"/>
      <c r="I1702" s="5"/>
      <c r="J1702" s="5"/>
      <c r="K1702" s="5"/>
      <c r="AT1702" s="5"/>
      <c r="AU1702" s="5"/>
      <c r="AV1702" s="5"/>
      <c r="AW1702" s="5"/>
      <c r="AX1702" s="5"/>
    </row>
    <row r="1703" spans="8:50" x14ac:dyDescent="0.2">
      <c r="H1703" s="5"/>
      <c r="I1703" s="5"/>
      <c r="J1703" s="5"/>
      <c r="K1703" s="5"/>
      <c r="AT1703" s="5"/>
      <c r="AU1703" s="5"/>
      <c r="AV1703" s="5"/>
      <c r="AW1703" s="5"/>
      <c r="AX1703" s="5"/>
    </row>
    <row r="1704" spans="8:50" x14ac:dyDescent="0.2">
      <c r="H1704" s="5"/>
      <c r="I1704" s="5"/>
      <c r="J1704" s="5"/>
      <c r="K1704" s="5"/>
      <c r="AT1704" s="5"/>
      <c r="AU1704" s="5"/>
      <c r="AV1704" s="5"/>
      <c r="AW1704" s="5"/>
      <c r="AX1704" s="5"/>
    </row>
    <row r="1705" spans="8:50" x14ac:dyDescent="0.2">
      <c r="H1705" s="5"/>
      <c r="I1705" s="5"/>
      <c r="J1705" s="5"/>
      <c r="K1705" s="5"/>
      <c r="AT1705" s="5"/>
      <c r="AU1705" s="5"/>
      <c r="AV1705" s="5"/>
      <c r="AW1705" s="5"/>
      <c r="AX1705" s="5"/>
    </row>
    <row r="1706" spans="8:50" x14ac:dyDescent="0.2">
      <c r="H1706" s="5"/>
      <c r="I1706" s="5"/>
      <c r="J1706" s="5"/>
      <c r="K1706" s="5"/>
      <c r="AT1706" s="5"/>
      <c r="AU1706" s="5"/>
      <c r="AV1706" s="5"/>
      <c r="AW1706" s="5"/>
      <c r="AX1706" s="5"/>
    </row>
    <row r="1707" spans="8:50" x14ac:dyDescent="0.2">
      <c r="H1707" s="5"/>
      <c r="I1707" s="5"/>
      <c r="J1707" s="5"/>
      <c r="K1707" s="5"/>
      <c r="AT1707" s="5"/>
      <c r="AU1707" s="5"/>
      <c r="AV1707" s="5"/>
      <c r="AW1707" s="5"/>
      <c r="AX1707" s="5"/>
    </row>
    <row r="1708" spans="8:50" x14ac:dyDescent="0.2">
      <c r="H1708" s="5"/>
      <c r="I1708" s="5"/>
      <c r="J1708" s="5"/>
      <c r="K1708" s="5"/>
      <c r="AT1708" s="5"/>
      <c r="AU1708" s="5"/>
      <c r="AV1708" s="5"/>
      <c r="AW1708" s="5"/>
      <c r="AX1708" s="5"/>
    </row>
    <row r="1709" spans="8:50" x14ac:dyDescent="0.2">
      <c r="H1709" s="5"/>
      <c r="I1709" s="5"/>
      <c r="J1709" s="5"/>
      <c r="K1709" s="5"/>
      <c r="AT1709" s="5"/>
      <c r="AU1709" s="5"/>
      <c r="AV1709" s="5"/>
      <c r="AW1709" s="5"/>
      <c r="AX1709" s="5"/>
    </row>
    <row r="1710" spans="8:50" x14ac:dyDescent="0.2">
      <c r="H1710" s="5"/>
      <c r="I1710" s="5"/>
      <c r="J1710" s="5"/>
      <c r="K1710" s="5"/>
      <c r="AT1710" s="5"/>
      <c r="AU1710" s="5"/>
      <c r="AV1710" s="5"/>
      <c r="AW1710" s="5"/>
      <c r="AX1710" s="5"/>
    </row>
    <row r="1711" spans="8:50" x14ac:dyDescent="0.2">
      <c r="H1711" s="5"/>
      <c r="I1711" s="5"/>
      <c r="J1711" s="5"/>
      <c r="K1711" s="5"/>
      <c r="AT1711" s="5"/>
      <c r="AU1711" s="5"/>
      <c r="AV1711" s="5"/>
      <c r="AW1711" s="5"/>
      <c r="AX1711" s="5"/>
    </row>
    <row r="1712" spans="8:50" x14ac:dyDescent="0.2">
      <c r="H1712" s="5"/>
      <c r="I1712" s="5"/>
      <c r="J1712" s="5"/>
      <c r="K1712" s="5"/>
      <c r="AT1712" s="5"/>
      <c r="AU1712" s="5"/>
      <c r="AV1712" s="5"/>
      <c r="AW1712" s="5"/>
      <c r="AX1712" s="5"/>
    </row>
    <row r="1713" spans="8:50" x14ac:dyDescent="0.2">
      <c r="H1713" s="5"/>
      <c r="I1713" s="5"/>
      <c r="J1713" s="5"/>
      <c r="K1713" s="5"/>
      <c r="AT1713" s="5"/>
      <c r="AU1713" s="5"/>
      <c r="AV1713" s="5"/>
      <c r="AW1713" s="5"/>
      <c r="AX1713" s="5"/>
    </row>
    <row r="1714" spans="8:50" x14ac:dyDescent="0.2">
      <c r="H1714" s="5"/>
      <c r="I1714" s="5"/>
      <c r="J1714" s="5"/>
      <c r="K1714" s="5"/>
      <c r="AT1714" s="5"/>
      <c r="AU1714" s="5"/>
      <c r="AV1714" s="5"/>
      <c r="AW1714" s="5"/>
      <c r="AX1714" s="5"/>
    </row>
    <row r="1715" spans="8:50" x14ac:dyDescent="0.2">
      <c r="H1715" s="5"/>
      <c r="I1715" s="5"/>
      <c r="J1715" s="5"/>
      <c r="K1715" s="5"/>
      <c r="AT1715" s="5"/>
      <c r="AU1715" s="5"/>
      <c r="AV1715" s="5"/>
      <c r="AW1715" s="5"/>
      <c r="AX1715" s="5"/>
    </row>
    <row r="1716" spans="8:50" x14ac:dyDescent="0.2">
      <c r="H1716" s="5"/>
      <c r="I1716" s="5"/>
      <c r="J1716" s="5"/>
      <c r="K1716" s="5"/>
      <c r="AT1716" s="5"/>
      <c r="AU1716" s="5"/>
      <c r="AV1716" s="5"/>
      <c r="AW1716" s="5"/>
      <c r="AX1716" s="5"/>
    </row>
    <row r="1717" spans="8:50" x14ac:dyDescent="0.2">
      <c r="H1717" s="5"/>
      <c r="I1717" s="5"/>
      <c r="J1717" s="5"/>
      <c r="K1717" s="5"/>
      <c r="AT1717" s="5"/>
      <c r="AU1717" s="5"/>
      <c r="AV1717" s="5"/>
      <c r="AW1717" s="5"/>
      <c r="AX1717" s="5"/>
    </row>
    <row r="1718" spans="8:50" x14ac:dyDescent="0.2">
      <c r="H1718" s="5"/>
      <c r="I1718" s="5"/>
      <c r="J1718" s="5"/>
      <c r="K1718" s="5"/>
      <c r="AT1718" s="5"/>
      <c r="AU1718" s="5"/>
      <c r="AV1718" s="5"/>
      <c r="AW1718" s="5"/>
      <c r="AX1718" s="5"/>
    </row>
    <row r="1719" spans="8:50" x14ac:dyDescent="0.2">
      <c r="H1719" s="5"/>
      <c r="I1719" s="5"/>
      <c r="J1719" s="5"/>
      <c r="K1719" s="5"/>
      <c r="AT1719" s="5"/>
      <c r="AU1719" s="5"/>
      <c r="AV1719" s="5"/>
      <c r="AW1719" s="5"/>
      <c r="AX1719" s="5"/>
    </row>
    <row r="1720" spans="8:50" x14ac:dyDescent="0.2">
      <c r="H1720" s="5"/>
      <c r="I1720" s="5"/>
      <c r="J1720" s="5"/>
      <c r="K1720" s="5"/>
      <c r="AT1720" s="5"/>
      <c r="AU1720" s="5"/>
      <c r="AV1720" s="5"/>
      <c r="AW1720" s="5"/>
      <c r="AX1720" s="5"/>
    </row>
    <row r="1721" spans="8:50" x14ac:dyDescent="0.2">
      <c r="H1721" s="5"/>
      <c r="I1721" s="5"/>
      <c r="J1721" s="5"/>
      <c r="K1721" s="5"/>
      <c r="AT1721" s="5"/>
      <c r="AU1721" s="5"/>
      <c r="AV1721" s="5"/>
      <c r="AW1721" s="5"/>
      <c r="AX1721" s="5"/>
    </row>
    <row r="1722" spans="8:50" x14ac:dyDescent="0.2">
      <c r="H1722" s="5"/>
      <c r="I1722" s="5"/>
      <c r="J1722" s="5"/>
      <c r="K1722" s="5"/>
      <c r="AT1722" s="5"/>
      <c r="AU1722" s="5"/>
      <c r="AV1722" s="5"/>
      <c r="AW1722" s="5"/>
      <c r="AX1722" s="5"/>
    </row>
    <row r="1723" spans="8:50" x14ac:dyDescent="0.2">
      <c r="H1723" s="5"/>
      <c r="I1723" s="5"/>
      <c r="J1723" s="5"/>
      <c r="K1723" s="5"/>
      <c r="AT1723" s="5"/>
      <c r="AU1723" s="5"/>
      <c r="AV1723" s="5"/>
      <c r="AW1723" s="5"/>
      <c r="AX1723" s="5"/>
    </row>
    <row r="1724" spans="8:50" x14ac:dyDescent="0.2">
      <c r="H1724" s="5"/>
      <c r="I1724" s="5"/>
      <c r="J1724" s="5"/>
      <c r="K1724" s="5"/>
      <c r="AT1724" s="5"/>
      <c r="AU1724" s="5"/>
      <c r="AV1724" s="5"/>
      <c r="AW1724" s="5"/>
      <c r="AX1724" s="5"/>
    </row>
    <row r="1725" spans="8:50" x14ac:dyDescent="0.2">
      <c r="H1725" s="5"/>
      <c r="I1725" s="5"/>
      <c r="J1725" s="5"/>
      <c r="K1725" s="5"/>
      <c r="AT1725" s="5"/>
      <c r="AU1725" s="5"/>
      <c r="AV1725" s="5"/>
      <c r="AW1725" s="5"/>
      <c r="AX1725" s="5"/>
    </row>
    <row r="1726" spans="8:50" x14ac:dyDescent="0.2">
      <c r="H1726" s="5"/>
      <c r="I1726" s="5"/>
      <c r="J1726" s="5"/>
      <c r="K1726" s="5"/>
      <c r="AT1726" s="5"/>
      <c r="AU1726" s="5"/>
      <c r="AV1726" s="5"/>
      <c r="AW1726" s="5"/>
      <c r="AX1726" s="5"/>
    </row>
    <row r="1727" spans="8:50" x14ac:dyDescent="0.2">
      <c r="H1727" s="5"/>
      <c r="I1727" s="5"/>
      <c r="J1727" s="5"/>
      <c r="K1727" s="5"/>
      <c r="AT1727" s="5"/>
      <c r="AU1727" s="5"/>
      <c r="AV1727" s="5"/>
      <c r="AW1727" s="5"/>
      <c r="AX1727" s="5"/>
    </row>
    <row r="1728" spans="8:50" x14ac:dyDescent="0.2">
      <c r="H1728" s="5"/>
      <c r="I1728" s="5"/>
      <c r="J1728" s="5"/>
      <c r="K1728" s="5"/>
      <c r="AT1728" s="5"/>
      <c r="AU1728" s="5"/>
      <c r="AV1728" s="5"/>
      <c r="AW1728" s="5"/>
      <c r="AX1728" s="5"/>
    </row>
    <row r="1729" spans="8:50" x14ac:dyDescent="0.2">
      <c r="H1729" s="5"/>
      <c r="I1729" s="5"/>
      <c r="J1729" s="5"/>
      <c r="K1729" s="5"/>
      <c r="AT1729" s="5"/>
      <c r="AU1729" s="5"/>
      <c r="AV1729" s="5"/>
      <c r="AW1729" s="5"/>
      <c r="AX1729" s="5"/>
    </row>
    <row r="1730" spans="8:50" x14ac:dyDescent="0.2">
      <c r="H1730" s="5"/>
      <c r="I1730" s="5"/>
      <c r="J1730" s="5"/>
      <c r="K1730" s="5"/>
      <c r="AT1730" s="5"/>
      <c r="AU1730" s="5"/>
      <c r="AV1730" s="5"/>
      <c r="AW1730" s="5"/>
      <c r="AX1730" s="5"/>
    </row>
    <row r="1731" spans="8:50" x14ac:dyDescent="0.2">
      <c r="H1731" s="5"/>
      <c r="I1731" s="5"/>
      <c r="J1731" s="5"/>
      <c r="K1731" s="5"/>
      <c r="AT1731" s="5"/>
      <c r="AU1731" s="5"/>
      <c r="AV1731" s="5"/>
      <c r="AW1731" s="5"/>
      <c r="AX1731" s="5"/>
    </row>
    <row r="1732" spans="8:50" x14ac:dyDescent="0.2">
      <c r="H1732" s="5"/>
      <c r="I1732" s="5"/>
      <c r="J1732" s="5"/>
      <c r="K1732" s="5"/>
      <c r="AT1732" s="5"/>
      <c r="AU1732" s="5"/>
      <c r="AV1732" s="5"/>
      <c r="AW1732" s="5"/>
      <c r="AX1732" s="5"/>
    </row>
    <row r="1733" spans="8:50" x14ac:dyDescent="0.2">
      <c r="H1733" s="5"/>
      <c r="I1733" s="5"/>
      <c r="J1733" s="5"/>
      <c r="K1733" s="5"/>
      <c r="AT1733" s="5"/>
      <c r="AU1733" s="5"/>
      <c r="AV1733" s="5"/>
      <c r="AW1733" s="5"/>
      <c r="AX1733" s="5"/>
    </row>
    <row r="1734" spans="8:50" x14ac:dyDescent="0.2">
      <c r="H1734" s="5"/>
      <c r="I1734" s="5"/>
      <c r="J1734" s="5"/>
      <c r="K1734" s="5"/>
      <c r="AT1734" s="5"/>
      <c r="AU1734" s="5"/>
      <c r="AV1734" s="5"/>
      <c r="AW1734" s="5"/>
      <c r="AX1734" s="5"/>
    </row>
    <row r="1735" spans="8:50" x14ac:dyDescent="0.2">
      <c r="H1735" s="5"/>
      <c r="I1735" s="5"/>
      <c r="J1735" s="5"/>
      <c r="K1735" s="5"/>
      <c r="AT1735" s="5"/>
      <c r="AU1735" s="5"/>
      <c r="AV1735" s="5"/>
      <c r="AW1735" s="5"/>
      <c r="AX1735" s="5"/>
    </row>
    <row r="1736" spans="8:50" x14ac:dyDescent="0.2">
      <c r="H1736" s="5"/>
      <c r="I1736" s="5"/>
      <c r="J1736" s="5"/>
      <c r="K1736" s="5"/>
      <c r="AT1736" s="5"/>
      <c r="AU1736" s="5"/>
      <c r="AV1736" s="5"/>
      <c r="AW1736" s="5"/>
      <c r="AX1736" s="5"/>
    </row>
    <row r="1737" spans="8:50" x14ac:dyDescent="0.2">
      <c r="H1737" s="5"/>
      <c r="I1737" s="5"/>
      <c r="J1737" s="5"/>
      <c r="K1737" s="5"/>
      <c r="AT1737" s="5"/>
      <c r="AU1737" s="5"/>
      <c r="AV1737" s="5"/>
      <c r="AW1737" s="5"/>
      <c r="AX1737" s="5"/>
    </row>
    <row r="1738" spans="8:50" x14ac:dyDescent="0.2">
      <c r="H1738" s="5"/>
      <c r="I1738" s="5"/>
      <c r="J1738" s="5"/>
      <c r="K1738" s="5"/>
      <c r="AT1738" s="5"/>
      <c r="AU1738" s="5"/>
      <c r="AV1738" s="5"/>
      <c r="AW1738" s="5"/>
      <c r="AX1738" s="5"/>
    </row>
    <row r="1739" spans="8:50" x14ac:dyDescent="0.2">
      <c r="H1739" s="5"/>
      <c r="I1739" s="5"/>
      <c r="J1739" s="5"/>
      <c r="K1739" s="5"/>
      <c r="AT1739" s="5"/>
      <c r="AU1739" s="5"/>
      <c r="AV1739" s="5"/>
      <c r="AW1739" s="5"/>
      <c r="AX1739" s="5"/>
    </row>
    <row r="1740" spans="8:50" x14ac:dyDescent="0.2">
      <c r="H1740" s="5"/>
      <c r="I1740" s="5"/>
      <c r="J1740" s="5"/>
      <c r="K1740" s="5"/>
      <c r="AT1740" s="5"/>
      <c r="AU1740" s="5"/>
      <c r="AV1740" s="5"/>
      <c r="AW1740" s="5"/>
      <c r="AX1740" s="5"/>
    </row>
    <row r="1741" spans="8:50" x14ac:dyDescent="0.2">
      <c r="H1741" s="5"/>
      <c r="I1741" s="5"/>
      <c r="J1741" s="5"/>
      <c r="K1741" s="5"/>
      <c r="AT1741" s="5"/>
      <c r="AU1741" s="5"/>
      <c r="AV1741" s="5"/>
      <c r="AW1741" s="5"/>
      <c r="AX1741" s="5"/>
    </row>
    <row r="1742" spans="8:50" x14ac:dyDescent="0.2">
      <c r="H1742" s="5"/>
      <c r="I1742" s="5"/>
      <c r="J1742" s="5"/>
      <c r="K1742" s="5"/>
      <c r="AT1742" s="5"/>
      <c r="AU1742" s="5"/>
      <c r="AV1742" s="5"/>
      <c r="AW1742" s="5"/>
      <c r="AX1742" s="5"/>
    </row>
    <row r="1743" spans="8:50" x14ac:dyDescent="0.2">
      <c r="H1743" s="5"/>
      <c r="I1743" s="5"/>
      <c r="J1743" s="5"/>
      <c r="K1743" s="5"/>
      <c r="AT1743" s="5"/>
      <c r="AU1743" s="5"/>
      <c r="AV1743" s="5"/>
      <c r="AW1743" s="5"/>
      <c r="AX1743" s="5"/>
    </row>
    <row r="1744" spans="8:50" x14ac:dyDescent="0.2">
      <c r="H1744" s="5"/>
      <c r="I1744" s="5"/>
      <c r="J1744" s="5"/>
      <c r="K1744" s="5"/>
      <c r="AT1744" s="5"/>
      <c r="AU1744" s="5"/>
      <c r="AV1744" s="5"/>
      <c r="AW1744" s="5"/>
      <c r="AX1744" s="5"/>
    </row>
    <row r="1745" spans="8:50" x14ac:dyDescent="0.2">
      <c r="H1745" s="5"/>
      <c r="I1745" s="5"/>
      <c r="J1745" s="5"/>
      <c r="K1745" s="5"/>
      <c r="AT1745" s="5"/>
      <c r="AU1745" s="5"/>
      <c r="AV1745" s="5"/>
      <c r="AW1745" s="5"/>
      <c r="AX1745" s="5"/>
    </row>
    <row r="1746" spans="8:50" x14ac:dyDescent="0.2">
      <c r="H1746" s="5"/>
      <c r="I1746" s="5"/>
      <c r="J1746" s="5"/>
      <c r="K1746" s="5"/>
      <c r="AT1746" s="5"/>
      <c r="AU1746" s="5"/>
      <c r="AV1746" s="5"/>
      <c r="AW1746" s="5"/>
      <c r="AX1746" s="5"/>
    </row>
    <row r="1747" spans="8:50" x14ac:dyDescent="0.2">
      <c r="H1747" s="5"/>
      <c r="I1747" s="5"/>
      <c r="J1747" s="5"/>
      <c r="K1747" s="5"/>
      <c r="AT1747" s="5"/>
      <c r="AU1747" s="5"/>
      <c r="AV1747" s="5"/>
      <c r="AW1747" s="5"/>
      <c r="AX1747" s="5"/>
    </row>
    <row r="1748" spans="8:50" x14ac:dyDescent="0.2">
      <c r="H1748" s="5"/>
      <c r="I1748" s="5"/>
      <c r="J1748" s="5"/>
      <c r="K1748" s="5"/>
      <c r="AT1748" s="5"/>
      <c r="AU1748" s="5"/>
      <c r="AV1748" s="5"/>
      <c r="AW1748" s="5"/>
      <c r="AX1748" s="5"/>
    </row>
    <row r="1749" spans="8:50" x14ac:dyDescent="0.2">
      <c r="H1749" s="5"/>
      <c r="I1749" s="5"/>
      <c r="J1749" s="5"/>
      <c r="K1749" s="5"/>
      <c r="AT1749" s="5"/>
      <c r="AU1749" s="5"/>
      <c r="AV1749" s="5"/>
      <c r="AW1749" s="5"/>
      <c r="AX1749" s="5"/>
    </row>
    <row r="1750" spans="8:50" x14ac:dyDescent="0.2">
      <c r="H1750" s="5"/>
      <c r="I1750" s="5"/>
      <c r="J1750" s="5"/>
      <c r="K1750" s="5"/>
      <c r="AT1750" s="5"/>
      <c r="AU1750" s="5"/>
      <c r="AV1750" s="5"/>
      <c r="AW1750" s="5"/>
      <c r="AX1750" s="5"/>
    </row>
    <row r="1751" spans="8:50" x14ac:dyDescent="0.2">
      <c r="H1751" s="5"/>
      <c r="I1751" s="5"/>
      <c r="J1751" s="5"/>
      <c r="K1751" s="5"/>
      <c r="AT1751" s="5"/>
      <c r="AU1751" s="5"/>
      <c r="AV1751" s="5"/>
      <c r="AW1751" s="5"/>
      <c r="AX1751" s="5"/>
    </row>
    <row r="1752" spans="8:50" x14ac:dyDescent="0.2">
      <c r="H1752" s="5"/>
      <c r="I1752" s="5"/>
      <c r="J1752" s="5"/>
      <c r="K1752" s="5"/>
      <c r="AT1752" s="5"/>
      <c r="AU1752" s="5"/>
      <c r="AV1752" s="5"/>
      <c r="AW1752" s="5"/>
      <c r="AX1752" s="5"/>
    </row>
    <row r="1753" spans="8:50" x14ac:dyDescent="0.2">
      <c r="H1753" s="5"/>
      <c r="I1753" s="5"/>
      <c r="J1753" s="5"/>
      <c r="K1753" s="5"/>
      <c r="AT1753" s="5"/>
      <c r="AU1753" s="5"/>
      <c r="AV1753" s="5"/>
      <c r="AW1753" s="5"/>
      <c r="AX1753" s="5"/>
    </row>
    <row r="1754" spans="8:50" x14ac:dyDescent="0.2">
      <c r="H1754" s="5"/>
      <c r="I1754" s="5"/>
      <c r="J1754" s="5"/>
      <c r="K1754" s="5"/>
      <c r="AT1754" s="5"/>
      <c r="AU1754" s="5"/>
      <c r="AV1754" s="5"/>
      <c r="AW1754" s="5"/>
      <c r="AX1754" s="5"/>
    </row>
    <row r="1755" spans="8:50" x14ac:dyDescent="0.2">
      <c r="H1755" s="5"/>
      <c r="I1755" s="5"/>
      <c r="J1755" s="5"/>
      <c r="K1755" s="5"/>
      <c r="AT1755" s="5"/>
      <c r="AU1755" s="5"/>
      <c r="AV1755" s="5"/>
      <c r="AW1755" s="5"/>
      <c r="AX1755" s="5"/>
    </row>
    <row r="1756" spans="8:50" x14ac:dyDescent="0.2">
      <c r="H1756" s="5"/>
      <c r="I1756" s="5"/>
      <c r="J1756" s="5"/>
      <c r="K1756" s="5"/>
      <c r="AT1756" s="5"/>
      <c r="AU1756" s="5"/>
      <c r="AV1756" s="5"/>
      <c r="AW1756" s="5"/>
      <c r="AX1756" s="5"/>
    </row>
    <row r="1757" spans="8:50" x14ac:dyDescent="0.2">
      <c r="H1757" s="5"/>
      <c r="I1757" s="5"/>
      <c r="J1757" s="5"/>
      <c r="K1757" s="5"/>
      <c r="AT1757" s="5"/>
      <c r="AU1757" s="5"/>
      <c r="AV1757" s="5"/>
      <c r="AW1757" s="5"/>
      <c r="AX1757" s="5"/>
    </row>
    <row r="1758" spans="8:50" x14ac:dyDescent="0.2">
      <c r="H1758" s="5"/>
      <c r="I1758" s="5"/>
      <c r="J1758" s="5"/>
      <c r="K1758" s="5"/>
      <c r="AT1758" s="5"/>
      <c r="AU1758" s="5"/>
      <c r="AV1758" s="5"/>
      <c r="AW1758" s="5"/>
      <c r="AX1758" s="5"/>
    </row>
    <row r="1759" spans="8:50" x14ac:dyDescent="0.2">
      <c r="H1759" s="5"/>
      <c r="I1759" s="5"/>
      <c r="J1759" s="5"/>
      <c r="K1759" s="5"/>
      <c r="AT1759" s="5"/>
      <c r="AU1759" s="5"/>
      <c r="AV1759" s="5"/>
      <c r="AW1759" s="5"/>
      <c r="AX1759" s="5"/>
    </row>
    <row r="1760" spans="8:50" x14ac:dyDescent="0.2">
      <c r="H1760" s="5"/>
      <c r="I1760" s="5"/>
      <c r="J1760" s="5"/>
      <c r="K1760" s="5"/>
      <c r="AT1760" s="5"/>
      <c r="AU1760" s="5"/>
      <c r="AV1760" s="5"/>
      <c r="AW1760" s="5"/>
      <c r="AX1760" s="5"/>
    </row>
    <row r="1761" spans="8:50" x14ac:dyDescent="0.2">
      <c r="H1761" s="5"/>
      <c r="I1761" s="5"/>
      <c r="J1761" s="5"/>
      <c r="K1761" s="5"/>
      <c r="AT1761" s="5"/>
      <c r="AU1761" s="5"/>
      <c r="AV1761" s="5"/>
      <c r="AW1761" s="5"/>
      <c r="AX1761" s="5"/>
    </row>
    <row r="1762" spans="8:50" x14ac:dyDescent="0.2">
      <c r="H1762" s="5"/>
      <c r="I1762" s="5"/>
      <c r="J1762" s="5"/>
      <c r="K1762" s="5"/>
      <c r="AT1762" s="5"/>
      <c r="AU1762" s="5"/>
      <c r="AV1762" s="5"/>
      <c r="AW1762" s="5"/>
      <c r="AX1762" s="5"/>
    </row>
    <row r="1763" spans="8:50" x14ac:dyDescent="0.2">
      <c r="H1763" s="5"/>
      <c r="I1763" s="5"/>
      <c r="J1763" s="5"/>
      <c r="K1763" s="5"/>
      <c r="AT1763" s="5"/>
      <c r="AU1763" s="5"/>
      <c r="AV1763" s="5"/>
      <c r="AW1763" s="5"/>
      <c r="AX1763" s="5"/>
    </row>
    <row r="1764" spans="8:50" x14ac:dyDescent="0.2">
      <c r="H1764" s="5"/>
      <c r="I1764" s="5"/>
      <c r="J1764" s="5"/>
      <c r="K1764" s="5"/>
      <c r="AT1764" s="5"/>
      <c r="AU1764" s="5"/>
      <c r="AV1764" s="5"/>
      <c r="AW1764" s="5"/>
      <c r="AX1764" s="5"/>
    </row>
    <row r="1765" spans="8:50" x14ac:dyDescent="0.2">
      <c r="H1765" s="5"/>
      <c r="I1765" s="5"/>
      <c r="J1765" s="5"/>
      <c r="K1765" s="5"/>
      <c r="AT1765" s="5"/>
      <c r="AU1765" s="5"/>
      <c r="AV1765" s="5"/>
      <c r="AW1765" s="5"/>
      <c r="AX1765" s="5"/>
    </row>
    <row r="1766" spans="8:50" x14ac:dyDescent="0.2">
      <c r="H1766" s="5"/>
      <c r="I1766" s="5"/>
      <c r="J1766" s="5"/>
      <c r="K1766" s="5"/>
      <c r="AT1766" s="5"/>
      <c r="AU1766" s="5"/>
      <c r="AV1766" s="5"/>
      <c r="AW1766" s="5"/>
      <c r="AX1766" s="5"/>
    </row>
    <row r="1767" spans="8:50" x14ac:dyDescent="0.2">
      <c r="H1767" s="5"/>
      <c r="I1767" s="5"/>
      <c r="J1767" s="5"/>
      <c r="K1767" s="5"/>
      <c r="AT1767" s="5"/>
      <c r="AU1767" s="5"/>
      <c r="AV1767" s="5"/>
      <c r="AW1767" s="5"/>
      <c r="AX1767" s="5"/>
    </row>
    <row r="1768" spans="8:50" x14ac:dyDescent="0.2">
      <c r="H1768" s="5"/>
      <c r="I1768" s="5"/>
      <c r="J1768" s="5"/>
      <c r="K1768" s="5"/>
      <c r="AT1768" s="5"/>
      <c r="AU1768" s="5"/>
      <c r="AV1768" s="5"/>
      <c r="AW1768" s="5"/>
      <c r="AX1768" s="5"/>
    </row>
    <row r="1769" spans="8:50" x14ac:dyDescent="0.2">
      <c r="H1769" s="5"/>
      <c r="I1769" s="5"/>
      <c r="J1769" s="5"/>
      <c r="K1769" s="5"/>
      <c r="AT1769" s="5"/>
      <c r="AU1769" s="5"/>
      <c r="AV1769" s="5"/>
      <c r="AW1769" s="5"/>
      <c r="AX1769" s="5"/>
    </row>
    <row r="1770" spans="8:50" x14ac:dyDescent="0.2">
      <c r="H1770" s="5"/>
      <c r="I1770" s="5"/>
      <c r="J1770" s="5"/>
      <c r="K1770" s="5"/>
      <c r="AT1770" s="5"/>
      <c r="AU1770" s="5"/>
      <c r="AV1770" s="5"/>
      <c r="AW1770" s="5"/>
      <c r="AX1770" s="5"/>
    </row>
    <row r="1771" spans="8:50" x14ac:dyDescent="0.2">
      <c r="H1771" s="5"/>
      <c r="I1771" s="5"/>
      <c r="J1771" s="5"/>
      <c r="K1771" s="5"/>
      <c r="AT1771" s="5"/>
      <c r="AU1771" s="5"/>
      <c r="AV1771" s="5"/>
      <c r="AW1771" s="5"/>
      <c r="AX1771" s="5"/>
    </row>
    <row r="1772" spans="8:50" x14ac:dyDescent="0.2">
      <c r="H1772" s="5"/>
      <c r="I1772" s="5"/>
      <c r="J1772" s="5"/>
      <c r="K1772" s="5"/>
      <c r="AT1772" s="5"/>
      <c r="AU1772" s="5"/>
      <c r="AV1772" s="5"/>
      <c r="AW1772" s="5"/>
      <c r="AX1772" s="5"/>
    </row>
    <row r="1773" spans="8:50" x14ac:dyDescent="0.2">
      <c r="H1773" s="5"/>
      <c r="I1773" s="5"/>
      <c r="J1773" s="5"/>
      <c r="K1773" s="5"/>
      <c r="AT1773" s="5"/>
      <c r="AU1773" s="5"/>
      <c r="AV1773" s="5"/>
      <c r="AW1773" s="5"/>
      <c r="AX1773" s="5"/>
    </row>
    <row r="1774" spans="8:50" x14ac:dyDescent="0.2">
      <c r="H1774" s="5"/>
      <c r="I1774" s="5"/>
      <c r="J1774" s="5"/>
      <c r="K1774" s="5"/>
      <c r="AT1774" s="5"/>
      <c r="AU1774" s="5"/>
      <c r="AV1774" s="5"/>
      <c r="AW1774" s="5"/>
      <c r="AX1774" s="5"/>
    </row>
    <row r="1775" spans="8:50" x14ac:dyDescent="0.2">
      <c r="H1775" s="5"/>
      <c r="I1775" s="5"/>
      <c r="J1775" s="5"/>
      <c r="K1775" s="5"/>
      <c r="AT1775" s="5"/>
      <c r="AU1775" s="5"/>
      <c r="AV1775" s="5"/>
      <c r="AW1775" s="5"/>
      <c r="AX1775" s="5"/>
    </row>
    <row r="1776" spans="8:50" x14ac:dyDescent="0.2">
      <c r="H1776" s="5"/>
      <c r="I1776" s="5"/>
      <c r="J1776" s="5"/>
      <c r="K1776" s="5"/>
      <c r="AT1776" s="5"/>
      <c r="AU1776" s="5"/>
      <c r="AV1776" s="5"/>
      <c r="AW1776" s="5"/>
      <c r="AX1776" s="5"/>
    </row>
    <row r="1777" spans="8:50" x14ac:dyDescent="0.2">
      <c r="H1777" s="5"/>
      <c r="I1777" s="5"/>
      <c r="J1777" s="5"/>
      <c r="K1777" s="5"/>
      <c r="AT1777" s="5"/>
      <c r="AU1777" s="5"/>
      <c r="AV1777" s="5"/>
      <c r="AW1777" s="5"/>
      <c r="AX1777" s="5"/>
    </row>
    <row r="1778" spans="8:50" x14ac:dyDescent="0.2">
      <c r="H1778" s="5"/>
      <c r="I1778" s="5"/>
      <c r="J1778" s="5"/>
      <c r="K1778" s="5"/>
      <c r="AT1778" s="5"/>
      <c r="AU1778" s="5"/>
      <c r="AV1778" s="5"/>
      <c r="AW1778" s="5"/>
      <c r="AX1778" s="5"/>
    </row>
    <row r="1779" spans="8:50" x14ac:dyDescent="0.2">
      <c r="H1779" s="5"/>
      <c r="I1779" s="5"/>
      <c r="J1779" s="5"/>
      <c r="K1779" s="5"/>
      <c r="AT1779" s="5"/>
      <c r="AU1779" s="5"/>
      <c r="AV1779" s="5"/>
      <c r="AW1779" s="5"/>
      <c r="AX1779" s="5"/>
    </row>
    <row r="1780" spans="8:50" x14ac:dyDescent="0.2">
      <c r="H1780" s="5"/>
      <c r="I1780" s="5"/>
      <c r="J1780" s="5"/>
      <c r="K1780" s="5"/>
      <c r="AT1780" s="5"/>
      <c r="AU1780" s="5"/>
      <c r="AV1780" s="5"/>
      <c r="AW1780" s="5"/>
      <c r="AX1780" s="5"/>
    </row>
    <row r="1781" spans="8:50" x14ac:dyDescent="0.2">
      <c r="H1781" s="5"/>
      <c r="I1781" s="5"/>
      <c r="J1781" s="5"/>
      <c r="K1781" s="5"/>
      <c r="AT1781" s="5"/>
      <c r="AU1781" s="5"/>
      <c r="AV1781" s="5"/>
      <c r="AW1781" s="5"/>
      <c r="AX1781" s="5"/>
    </row>
    <row r="1782" spans="8:50" x14ac:dyDescent="0.2">
      <c r="H1782" s="5"/>
      <c r="I1782" s="5"/>
      <c r="J1782" s="5"/>
      <c r="K1782" s="5"/>
      <c r="AT1782" s="5"/>
      <c r="AU1782" s="5"/>
      <c r="AV1782" s="5"/>
      <c r="AW1782" s="5"/>
      <c r="AX1782" s="5"/>
    </row>
    <row r="1783" spans="8:50" x14ac:dyDescent="0.2">
      <c r="H1783" s="5"/>
      <c r="I1783" s="5"/>
      <c r="J1783" s="5"/>
      <c r="K1783" s="5"/>
      <c r="AT1783" s="5"/>
      <c r="AU1783" s="5"/>
      <c r="AV1783" s="5"/>
      <c r="AW1783" s="5"/>
      <c r="AX1783" s="5"/>
    </row>
    <row r="1784" spans="8:50" x14ac:dyDescent="0.2">
      <c r="H1784" s="5"/>
      <c r="I1784" s="5"/>
      <c r="J1784" s="5"/>
      <c r="K1784" s="5"/>
      <c r="AT1784" s="5"/>
      <c r="AU1784" s="5"/>
      <c r="AV1784" s="5"/>
      <c r="AW1784" s="5"/>
      <c r="AX1784" s="5"/>
    </row>
    <row r="1785" spans="8:50" x14ac:dyDescent="0.2">
      <c r="H1785" s="5"/>
      <c r="I1785" s="5"/>
      <c r="J1785" s="5"/>
      <c r="K1785" s="5"/>
      <c r="AT1785" s="5"/>
      <c r="AU1785" s="5"/>
      <c r="AV1785" s="5"/>
      <c r="AW1785" s="5"/>
      <c r="AX1785" s="5"/>
    </row>
    <row r="1786" spans="8:50" x14ac:dyDescent="0.2">
      <c r="H1786" s="5"/>
      <c r="I1786" s="5"/>
      <c r="J1786" s="5"/>
      <c r="K1786" s="5"/>
      <c r="AT1786" s="5"/>
      <c r="AU1786" s="5"/>
      <c r="AV1786" s="5"/>
      <c r="AW1786" s="5"/>
      <c r="AX1786" s="5"/>
    </row>
    <row r="1787" spans="8:50" x14ac:dyDescent="0.2">
      <c r="H1787" s="5"/>
      <c r="I1787" s="5"/>
      <c r="J1787" s="5"/>
      <c r="K1787" s="5"/>
      <c r="AT1787" s="5"/>
      <c r="AU1787" s="5"/>
      <c r="AV1787" s="5"/>
      <c r="AW1787" s="5"/>
      <c r="AX1787" s="5"/>
    </row>
    <row r="1788" spans="8:50" x14ac:dyDescent="0.2">
      <c r="H1788" s="5"/>
      <c r="I1788" s="5"/>
      <c r="J1788" s="5"/>
      <c r="K1788" s="5"/>
      <c r="AT1788" s="5"/>
      <c r="AU1788" s="5"/>
      <c r="AV1788" s="5"/>
      <c r="AW1788" s="5"/>
      <c r="AX1788" s="5"/>
    </row>
    <row r="1789" spans="8:50" x14ac:dyDescent="0.2">
      <c r="H1789" s="5"/>
      <c r="I1789" s="5"/>
      <c r="J1789" s="5"/>
      <c r="K1789" s="5"/>
      <c r="AT1789" s="5"/>
      <c r="AU1789" s="5"/>
      <c r="AV1789" s="5"/>
      <c r="AW1789" s="5"/>
      <c r="AX1789" s="5"/>
    </row>
    <row r="1790" spans="8:50" x14ac:dyDescent="0.2">
      <c r="H1790" s="5"/>
      <c r="I1790" s="5"/>
      <c r="J1790" s="5"/>
      <c r="K1790" s="5"/>
      <c r="AT1790" s="5"/>
      <c r="AU1790" s="5"/>
      <c r="AV1790" s="5"/>
      <c r="AW1790" s="5"/>
      <c r="AX1790" s="5"/>
    </row>
    <row r="1791" spans="8:50" x14ac:dyDescent="0.2">
      <c r="H1791" s="5"/>
      <c r="I1791" s="5"/>
      <c r="J1791" s="5"/>
      <c r="K1791" s="5"/>
      <c r="AT1791" s="5"/>
      <c r="AU1791" s="5"/>
      <c r="AV1791" s="5"/>
      <c r="AW1791" s="5"/>
      <c r="AX1791" s="5"/>
    </row>
    <row r="1792" spans="8:50" x14ac:dyDescent="0.2">
      <c r="H1792" s="5"/>
      <c r="I1792" s="5"/>
      <c r="J1792" s="5"/>
      <c r="K1792" s="5"/>
      <c r="AT1792" s="5"/>
      <c r="AU1792" s="5"/>
      <c r="AV1792" s="5"/>
      <c r="AW1792" s="5"/>
      <c r="AX1792" s="5"/>
    </row>
    <row r="1793" spans="8:50" x14ac:dyDescent="0.2">
      <c r="H1793" s="5"/>
      <c r="I1793" s="5"/>
      <c r="J1793" s="5"/>
      <c r="K1793" s="5"/>
      <c r="AT1793" s="5"/>
      <c r="AU1793" s="5"/>
      <c r="AV1793" s="5"/>
      <c r="AW1793" s="5"/>
      <c r="AX1793" s="5"/>
    </row>
    <row r="1794" spans="8:50" x14ac:dyDescent="0.2">
      <c r="H1794" s="5"/>
      <c r="I1794" s="5"/>
      <c r="J1794" s="5"/>
      <c r="K1794" s="5"/>
      <c r="AT1794" s="5"/>
      <c r="AU1794" s="5"/>
      <c r="AV1794" s="5"/>
      <c r="AW1794" s="5"/>
      <c r="AX1794" s="5"/>
    </row>
    <row r="1795" spans="8:50" x14ac:dyDescent="0.2">
      <c r="H1795" s="5"/>
      <c r="I1795" s="5"/>
      <c r="J1795" s="5"/>
      <c r="K1795" s="5"/>
      <c r="AT1795" s="5"/>
      <c r="AU1795" s="5"/>
      <c r="AV1795" s="5"/>
      <c r="AW1795" s="5"/>
      <c r="AX1795" s="5"/>
    </row>
    <row r="1796" spans="8:50" x14ac:dyDescent="0.2">
      <c r="H1796" s="5"/>
      <c r="I1796" s="5"/>
      <c r="J1796" s="5"/>
      <c r="K1796" s="5"/>
      <c r="AT1796" s="5"/>
      <c r="AU1796" s="5"/>
      <c r="AV1796" s="5"/>
      <c r="AW1796" s="5"/>
      <c r="AX1796" s="5"/>
    </row>
    <row r="1797" spans="8:50" x14ac:dyDescent="0.2">
      <c r="H1797" s="5"/>
      <c r="I1797" s="5"/>
      <c r="J1797" s="5"/>
      <c r="K1797" s="5"/>
      <c r="AT1797" s="5"/>
      <c r="AU1797" s="5"/>
      <c r="AV1797" s="5"/>
      <c r="AW1797" s="5"/>
      <c r="AX1797" s="5"/>
    </row>
    <row r="1798" spans="8:50" x14ac:dyDescent="0.2">
      <c r="H1798" s="5"/>
      <c r="I1798" s="5"/>
      <c r="J1798" s="5"/>
      <c r="K1798" s="5"/>
      <c r="AT1798" s="5"/>
      <c r="AU1798" s="5"/>
      <c r="AV1798" s="5"/>
      <c r="AW1798" s="5"/>
      <c r="AX1798" s="5"/>
    </row>
    <row r="1799" spans="8:50" x14ac:dyDescent="0.2">
      <c r="H1799" s="5"/>
      <c r="I1799" s="5"/>
      <c r="J1799" s="5"/>
      <c r="K1799" s="5"/>
      <c r="AT1799" s="5"/>
      <c r="AU1799" s="5"/>
      <c r="AV1799" s="5"/>
      <c r="AW1799" s="5"/>
      <c r="AX1799" s="5"/>
    </row>
    <row r="1800" spans="8:50" x14ac:dyDescent="0.2">
      <c r="H1800" s="5"/>
      <c r="I1800" s="5"/>
      <c r="J1800" s="5"/>
      <c r="K1800" s="5"/>
      <c r="AT1800" s="5"/>
      <c r="AU1800" s="5"/>
      <c r="AV1800" s="5"/>
      <c r="AW1800" s="5"/>
      <c r="AX1800" s="5"/>
    </row>
    <row r="1801" spans="8:50" x14ac:dyDescent="0.2">
      <c r="H1801" s="5"/>
      <c r="I1801" s="5"/>
      <c r="J1801" s="5"/>
      <c r="K1801" s="5"/>
      <c r="AT1801" s="5"/>
      <c r="AU1801" s="5"/>
      <c r="AV1801" s="5"/>
      <c r="AW1801" s="5"/>
      <c r="AX1801" s="5"/>
    </row>
    <row r="1802" spans="8:50" x14ac:dyDescent="0.2">
      <c r="H1802" s="5"/>
      <c r="I1802" s="5"/>
      <c r="J1802" s="5"/>
      <c r="K1802" s="5"/>
      <c r="AT1802" s="5"/>
      <c r="AU1802" s="5"/>
      <c r="AV1802" s="5"/>
      <c r="AW1802" s="5"/>
      <c r="AX1802" s="5"/>
    </row>
    <row r="1803" spans="8:50" x14ac:dyDescent="0.2">
      <c r="H1803" s="5"/>
      <c r="I1803" s="5"/>
      <c r="J1803" s="5"/>
      <c r="K1803" s="5"/>
      <c r="AT1803" s="5"/>
      <c r="AU1803" s="5"/>
      <c r="AV1803" s="5"/>
      <c r="AW1803" s="5"/>
      <c r="AX1803" s="5"/>
    </row>
    <row r="1804" spans="8:50" x14ac:dyDescent="0.2">
      <c r="H1804" s="5"/>
      <c r="I1804" s="5"/>
      <c r="J1804" s="5"/>
      <c r="K1804" s="5"/>
      <c r="AT1804" s="5"/>
      <c r="AU1804" s="5"/>
      <c r="AV1804" s="5"/>
      <c r="AW1804" s="5"/>
      <c r="AX1804" s="5"/>
    </row>
    <row r="1805" spans="8:50" x14ac:dyDescent="0.2">
      <c r="H1805" s="5"/>
      <c r="I1805" s="5"/>
      <c r="J1805" s="5"/>
      <c r="K1805" s="5"/>
      <c r="AT1805" s="5"/>
      <c r="AU1805" s="5"/>
      <c r="AV1805" s="5"/>
      <c r="AW1805" s="5"/>
      <c r="AX1805" s="5"/>
    </row>
    <row r="1806" spans="8:50" x14ac:dyDescent="0.2">
      <c r="H1806" s="5"/>
      <c r="I1806" s="5"/>
      <c r="J1806" s="5"/>
      <c r="K1806" s="5"/>
      <c r="AT1806" s="5"/>
      <c r="AU1806" s="5"/>
      <c r="AV1806" s="5"/>
      <c r="AW1806" s="5"/>
      <c r="AX1806" s="5"/>
    </row>
    <row r="1807" spans="8:50" x14ac:dyDescent="0.2">
      <c r="H1807" s="5"/>
      <c r="I1807" s="5"/>
      <c r="J1807" s="5"/>
      <c r="K1807" s="5"/>
      <c r="AT1807" s="5"/>
      <c r="AU1807" s="5"/>
      <c r="AV1807" s="5"/>
      <c r="AW1807" s="5"/>
      <c r="AX1807" s="5"/>
    </row>
    <row r="1808" spans="8:50" x14ac:dyDescent="0.2">
      <c r="H1808" s="5"/>
      <c r="I1808" s="5"/>
      <c r="J1808" s="5"/>
      <c r="K1808" s="5"/>
      <c r="AT1808" s="5"/>
      <c r="AU1808" s="5"/>
      <c r="AV1808" s="5"/>
      <c r="AW1808" s="5"/>
      <c r="AX1808" s="5"/>
    </row>
    <row r="1809" spans="8:50" x14ac:dyDescent="0.2">
      <c r="H1809" s="5"/>
      <c r="I1809" s="5"/>
      <c r="J1809" s="5"/>
      <c r="K1809" s="5"/>
      <c r="AT1809" s="5"/>
      <c r="AU1809" s="5"/>
      <c r="AV1809" s="5"/>
      <c r="AW1809" s="5"/>
      <c r="AX1809" s="5"/>
    </row>
    <row r="1810" spans="8:50" x14ac:dyDescent="0.2">
      <c r="H1810" s="5"/>
      <c r="I1810" s="5"/>
      <c r="J1810" s="5"/>
      <c r="K1810" s="5"/>
      <c r="AT1810" s="5"/>
      <c r="AU1810" s="5"/>
      <c r="AV1810" s="5"/>
      <c r="AW1810" s="5"/>
      <c r="AX1810" s="5"/>
    </row>
    <row r="1811" spans="8:50" x14ac:dyDescent="0.2">
      <c r="H1811" s="5"/>
      <c r="I1811" s="5"/>
      <c r="J1811" s="5"/>
      <c r="K1811" s="5"/>
      <c r="AT1811" s="5"/>
      <c r="AU1811" s="5"/>
      <c r="AV1811" s="5"/>
      <c r="AW1811" s="5"/>
      <c r="AX1811" s="5"/>
    </row>
    <row r="1812" spans="8:50" x14ac:dyDescent="0.2">
      <c r="H1812" s="5"/>
      <c r="I1812" s="5"/>
      <c r="J1812" s="5"/>
      <c r="K1812" s="5"/>
      <c r="AT1812" s="5"/>
      <c r="AU1812" s="5"/>
      <c r="AV1812" s="5"/>
      <c r="AW1812" s="5"/>
      <c r="AX1812" s="5"/>
    </row>
    <row r="1813" spans="8:50" x14ac:dyDescent="0.2">
      <c r="H1813" s="5"/>
      <c r="I1813" s="5"/>
      <c r="J1813" s="5"/>
      <c r="K1813" s="5"/>
      <c r="AT1813" s="5"/>
      <c r="AU1813" s="5"/>
      <c r="AV1813" s="5"/>
      <c r="AW1813" s="5"/>
      <c r="AX1813" s="5"/>
    </row>
    <row r="1814" spans="8:50" x14ac:dyDescent="0.2">
      <c r="H1814" s="5"/>
      <c r="I1814" s="5"/>
      <c r="J1814" s="5"/>
      <c r="K1814" s="5"/>
      <c r="AT1814" s="5"/>
      <c r="AU1814" s="5"/>
      <c r="AV1814" s="5"/>
      <c r="AW1814" s="5"/>
      <c r="AX1814" s="5"/>
    </row>
    <row r="1815" spans="8:50" x14ac:dyDescent="0.2">
      <c r="H1815" s="5"/>
      <c r="I1815" s="5"/>
      <c r="J1815" s="5"/>
      <c r="K1815" s="5"/>
      <c r="AT1815" s="5"/>
      <c r="AU1815" s="5"/>
      <c r="AV1815" s="5"/>
      <c r="AW1815" s="5"/>
      <c r="AX1815" s="5"/>
    </row>
    <row r="1816" spans="8:50" x14ac:dyDescent="0.2">
      <c r="H1816" s="5"/>
      <c r="I1816" s="5"/>
      <c r="J1816" s="5"/>
      <c r="K1816" s="5"/>
      <c r="AT1816" s="5"/>
      <c r="AU1816" s="5"/>
      <c r="AV1816" s="5"/>
      <c r="AW1816" s="5"/>
      <c r="AX1816" s="5"/>
    </row>
    <row r="1817" spans="8:50" x14ac:dyDescent="0.2">
      <c r="H1817" s="5"/>
      <c r="I1817" s="5"/>
      <c r="J1817" s="5"/>
      <c r="K1817" s="5"/>
      <c r="AT1817" s="5"/>
      <c r="AU1817" s="5"/>
      <c r="AV1817" s="5"/>
      <c r="AW1817" s="5"/>
      <c r="AX1817" s="5"/>
    </row>
    <row r="1818" spans="8:50" x14ac:dyDescent="0.2">
      <c r="H1818" s="5"/>
      <c r="I1818" s="5"/>
      <c r="J1818" s="5"/>
      <c r="K1818" s="5"/>
      <c r="AT1818" s="5"/>
      <c r="AU1818" s="5"/>
      <c r="AV1818" s="5"/>
      <c r="AW1818" s="5"/>
      <c r="AX1818" s="5"/>
    </row>
    <row r="1819" spans="8:50" x14ac:dyDescent="0.2">
      <c r="H1819" s="5"/>
      <c r="I1819" s="5"/>
      <c r="J1819" s="5"/>
      <c r="K1819" s="5"/>
      <c r="AT1819" s="5"/>
      <c r="AU1819" s="5"/>
      <c r="AV1819" s="5"/>
      <c r="AW1819" s="5"/>
      <c r="AX1819" s="5"/>
    </row>
    <row r="1820" spans="8:50" x14ac:dyDescent="0.2">
      <c r="H1820" s="5"/>
      <c r="I1820" s="5"/>
      <c r="J1820" s="5"/>
      <c r="K1820" s="5"/>
      <c r="AT1820" s="5"/>
      <c r="AU1820" s="5"/>
      <c r="AV1820" s="5"/>
      <c r="AW1820" s="5"/>
      <c r="AX1820" s="5"/>
    </row>
    <row r="1821" spans="8:50" x14ac:dyDescent="0.2">
      <c r="H1821" s="5"/>
      <c r="I1821" s="5"/>
      <c r="J1821" s="5"/>
      <c r="K1821" s="5"/>
      <c r="AT1821" s="5"/>
      <c r="AU1821" s="5"/>
      <c r="AV1821" s="5"/>
      <c r="AW1821" s="5"/>
      <c r="AX1821" s="5"/>
    </row>
    <row r="1822" spans="8:50" x14ac:dyDescent="0.2">
      <c r="H1822" s="5"/>
      <c r="I1822" s="5"/>
      <c r="J1822" s="5"/>
      <c r="K1822" s="5"/>
      <c r="AT1822" s="5"/>
      <c r="AU1822" s="5"/>
      <c r="AV1822" s="5"/>
      <c r="AW1822" s="5"/>
      <c r="AX1822" s="5"/>
    </row>
    <row r="1823" spans="8:50" x14ac:dyDescent="0.2">
      <c r="H1823" s="5"/>
      <c r="I1823" s="5"/>
      <c r="J1823" s="5"/>
      <c r="K1823" s="5"/>
      <c r="AT1823" s="5"/>
      <c r="AU1823" s="5"/>
      <c r="AV1823" s="5"/>
      <c r="AW1823" s="5"/>
      <c r="AX1823" s="5"/>
    </row>
    <row r="1824" spans="8:50" x14ac:dyDescent="0.2">
      <c r="H1824" s="5"/>
      <c r="I1824" s="5"/>
      <c r="J1824" s="5"/>
      <c r="K1824" s="5"/>
      <c r="AT1824" s="5"/>
      <c r="AU1824" s="5"/>
      <c r="AV1824" s="5"/>
      <c r="AW1824" s="5"/>
      <c r="AX1824" s="5"/>
    </row>
    <row r="1825" spans="8:50" x14ac:dyDescent="0.2">
      <c r="H1825" s="5"/>
      <c r="I1825" s="5"/>
      <c r="J1825" s="5"/>
      <c r="K1825" s="5"/>
      <c r="AT1825" s="5"/>
      <c r="AU1825" s="5"/>
      <c r="AV1825" s="5"/>
      <c r="AW1825" s="5"/>
      <c r="AX1825" s="5"/>
    </row>
    <row r="1826" spans="8:50" x14ac:dyDescent="0.2">
      <c r="H1826" s="5"/>
      <c r="I1826" s="5"/>
      <c r="J1826" s="5"/>
      <c r="K1826" s="5"/>
      <c r="AT1826" s="5"/>
      <c r="AU1826" s="5"/>
      <c r="AV1826" s="5"/>
      <c r="AW1826" s="5"/>
      <c r="AX1826" s="5"/>
    </row>
    <row r="1827" spans="8:50" x14ac:dyDescent="0.2">
      <c r="H1827" s="5"/>
      <c r="I1827" s="5"/>
      <c r="J1827" s="5"/>
      <c r="K1827" s="5"/>
      <c r="AT1827" s="5"/>
      <c r="AU1827" s="5"/>
      <c r="AV1827" s="5"/>
      <c r="AW1827" s="5"/>
      <c r="AX1827" s="5"/>
    </row>
    <row r="1828" spans="8:50" x14ac:dyDescent="0.2">
      <c r="H1828" s="5"/>
      <c r="I1828" s="5"/>
      <c r="J1828" s="5"/>
      <c r="K1828" s="5"/>
      <c r="AT1828" s="5"/>
      <c r="AU1828" s="5"/>
      <c r="AV1828" s="5"/>
      <c r="AW1828" s="5"/>
      <c r="AX1828" s="5"/>
    </row>
    <row r="1829" spans="8:50" x14ac:dyDescent="0.2">
      <c r="H1829" s="5"/>
      <c r="I1829" s="5"/>
      <c r="J1829" s="5"/>
      <c r="K1829" s="5"/>
      <c r="AT1829" s="5"/>
      <c r="AU1829" s="5"/>
      <c r="AV1829" s="5"/>
      <c r="AW1829" s="5"/>
      <c r="AX1829" s="5"/>
    </row>
    <row r="1830" spans="8:50" x14ac:dyDescent="0.2">
      <c r="H1830" s="5"/>
      <c r="I1830" s="5"/>
      <c r="J1830" s="5"/>
      <c r="K1830" s="5"/>
      <c r="AT1830" s="5"/>
      <c r="AU1830" s="5"/>
      <c r="AV1830" s="5"/>
      <c r="AW1830" s="5"/>
      <c r="AX1830" s="5"/>
    </row>
    <row r="1831" spans="8:50" x14ac:dyDescent="0.2">
      <c r="H1831" s="5"/>
      <c r="I1831" s="5"/>
      <c r="J1831" s="5"/>
      <c r="K1831" s="5"/>
      <c r="AT1831" s="5"/>
      <c r="AU1831" s="5"/>
      <c r="AV1831" s="5"/>
      <c r="AW1831" s="5"/>
      <c r="AX1831" s="5"/>
    </row>
    <row r="1832" spans="8:50" x14ac:dyDescent="0.2">
      <c r="H1832" s="5"/>
      <c r="I1832" s="5"/>
      <c r="J1832" s="5"/>
      <c r="K1832" s="5"/>
      <c r="AT1832" s="5"/>
      <c r="AU1832" s="5"/>
      <c r="AV1832" s="5"/>
      <c r="AW1832" s="5"/>
      <c r="AX1832" s="5"/>
    </row>
    <row r="1833" spans="8:50" x14ac:dyDescent="0.2">
      <c r="H1833" s="5"/>
      <c r="I1833" s="5"/>
      <c r="J1833" s="5"/>
      <c r="K1833" s="5"/>
      <c r="AT1833" s="5"/>
      <c r="AU1833" s="5"/>
      <c r="AV1833" s="5"/>
      <c r="AW1833" s="5"/>
      <c r="AX1833" s="5"/>
    </row>
    <row r="1834" spans="8:50" x14ac:dyDescent="0.2">
      <c r="H1834" s="5"/>
      <c r="I1834" s="5"/>
      <c r="J1834" s="5"/>
      <c r="K1834" s="5"/>
      <c r="AT1834" s="5"/>
      <c r="AU1834" s="5"/>
      <c r="AV1834" s="5"/>
      <c r="AW1834" s="5"/>
      <c r="AX1834" s="5"/>
    </row>
    <row r="1835" spans="8:50" x14ac:dyDescent="0.2">
      <c r="H1835" s="5"/>
      <c r="I1835" s="5"/>
      <c r="J1835" s="5"/>
      <c r="K1835" s="5"/>
      <c r="AT1835" s="5"/>
      <c r="AU1835" s="5"/>
      <c r="AV1835" s="5"/>
      <c r="AW1835" s="5"/>
      <c r="AX1835" s="5"/>
    </row>
    <row r="1836" spans="8:50" x14ac:dyDescent="0.2">
      <c r="H1836" s="5"/>
      <c r="I1836" s="5"/>
      <c r="J1836" s="5"/>
      <c r="K1836" s="5"/>
      <c r="AT1836" s="5"/>
      <c r="AU1836" s="5"/>
      <c r="AV1836" s="5"/>
      <c r="AW1836" s="5"/>
      <c r="AX1836" s="5"/>
    </row>
    <row r="1837" spans="8:50" x14ac:dyDescent="0.2">
      <c r="H1837" s="5"/>
      <c r="I1837" s="5"/>
      <c r="J1837" s="5"/>
      <c r="K1837" s="5"/>
      <c r="AT1837" s="5"/>
      <c r="AU1837" s="5"/>
      <c r="AV1837" s="5"/>
      <c r="AW1837" s="5"/>
      <c r="AX1837" s="5"/>
    </row>
    <row r="1838" spans="8:50" x14ac:dyDescent="0.2">
      <c r="H1838" s="5"/>
      <c r="I1838" s="5"/>
      <c r="J1838" s="5"/>
      <c r="K1838" s="5"/>
      <c r="AT1838" s="5"/>
      <c r="AU1838" s="5"/>
      <c r="AV1838" s="5"/>
      <c r="AW1838" s="5"/>
      <c r="AX1838" s="5"/>
    </row>
    <row r="1839" spans="8:50" x14ac:dyDescent="0.2">
      <c r="H1839" s="5"/>
      <c r="I1839" s="5"/>
      <c r="J1839" s="5"/>
      <c r="K1839" s="5"/>
      <c r="AT1839" s="5"/>
      <c r="AU1839" s="5"/>
      <c r="AV1839" s="5"/>
      <c r="AW1839" s="5"/>
      <c r="AX1839" s="5"/>
    </row>
    <row r="1840" spans="8:50" x14ac:dyDescent="0.2">
      <c r="H1840" s="5"/>
      <c r="I1840" s="5"/>
      <c r="J1840" s="5"/>
      <c r="K1840" s="5"/>
      <c r="AT1840" s="5"/>
      <c r="AU1840" s="5"/>
      <c r="AV1840" s="5"/>
      <c r="AW1840" s="5"/>
      <c r="AX1840" s="5"/>
    </row>
    <row r="1841" spans="8:50" x14ac:dyDescent="0.2">
      <c r="H1841" s="5"/>
      <c r="I1841" s="5"/>
      <c r="J1841" s="5"/>
      <c r="K1841" s="5"/>
      <c r="AT1841" s="5"/>
      <c r="AU1841" s="5"/>
      <c r="AV1841" s="5"/>
      <c r="AW1841" s="5"/>
      <c r="AX1841" s="5"/>
    </row>
    <row r="1842" spans="8:50" x14ac:dyDescent="0.2">
      <c r="H1842" s="5"/>
      <c r="I1842" s="5"/>
      <c r="J1842" s="5"/>
      <c r="K1842" s="5"/>
      <c r="AT1842" s="5"/>
      <c r="AU1842" s="5"/>
      <c r="AV1842" s="5"/>
      <c r="AW1842" s="5"/>
      <c r="AX1842" s="5"/>
    </row>
    <row r="1843" spans="8:50" x14ac:dyDescent="0.2">
      <c r="H1843" s="5"/>
      <c r="I1843" s="5"/>
      <c r="J1843" s="5"/>
      <c r="K1843" s="5"/>
      <c r="AT1843" s="5"/>
      <c r="AU1843" s="5"/>
      <c r="AV1843" s="5"/>
      <c r="AW1843" s="5"/>
      <c r="AX1843" s="5"/>
    </row>
    <row r="1844" spans="8:50" x14ac:dyDescent="0.2">
      <c r="H1844" s="5"/>
      <c r="I1844" s="5"/>
      <c r="J1844" s="5"/>
      <c r="K1844" s="5"/>
      <c r="AT1844" s="5"/>
      <c r="AU1844" s="5"/>
      <c r="AV1844" s="5"/>
      <c r="AW1844" s="5"/>
      <c r="AX1844" s="5"/>
    </row>
    <row r="1845" spans="8:50" x14ac:dyDescent="0.2">
      <c r="H1845" s="5"/>
      <c r="I1845" s="5"/>
      <c r="J1845" s="5"/>
      <c r="K1845" s="5"/>
      <c r="AT1845" s="5"/>
      <c r="AU1845" s="5"/>
      <c r="AV1845" s="5"/>
      <c r="AW1845" s="5"/>
      <c r="AX1845" s="5"/>
    </row>
    <row r="1846" spans="8:50" x14ac:dyDescent="0.2">
      <c r="H1846" s="5"/>
      <c r="I1846" s="5"/>
      <c r="J1846" s="5"/>
      <c r="K1846" s="5"/>
      <c r="AT1846" s="5"/>
      <c r="AU1846" s="5"/>
      <c r="AV1846" s="5"/>
      <c r="AW1846" s="5"/>
      <c r="AX1846" s="5"/>
    </row>
    <row r="1847" spans="8:50" x14ac:dyDescent="0.2">
      <c r="H1847" s="5"/>
      <c r="I1847" s="5"/>
      <c r="J1847" s="5"/>
      <c r="K1847" s="5"/>
      <c r="AT1847" s="5"/>
      <c r="AU1847" s="5"/>
      <c r="AV1847" s="5"/>
      <c r="AW1847" s="5"/>
      <c r="AX1847" s="5"/>
    </row>
    <row r="1848" spans="8:50" x14ac:dyDescent="0.2">
      <c r="H1848" s="5"/>
      <c r="I1848" s="5"/>
      <c r="J1848" s="5"/>
      <c r="K1848" s="5"/>
      <c r="AT1848" s="5"/>
      <c r="AU1848" s="5"/>
      <c r="AV1848" s="5"/>
      <c r="AW1848" s="5"/>
      <c r="AX1848" s="5"/>
    </row>
    <row r="1849" spans="8:50" x14ac:dyDescent="0.2">
      <c r="H1849" s="5"/>
      <c r="I1849" s="5"/>
      <c r="J1849" s="5"/>
      <c r="K1849" s="5"/>
      <c r="AT1849" s="5"/>
      <c r="AU1849" s="5"/>
      <c r="AV1849" s="5"/>
      <c r="AW1849" s="5"/>
      <c r="AX1849" s="5"/>
    </row>
    <row r="1850" spans="8:50" x14ac:dyDescent="0.2">
      <c r="H1850" s="5"/>
      <c r="I1850" s="5"/>
      <c r="J1850" s="5"/>
      <c r="K1850" s="5"/>
      <c r="AT1850" s="5"/>
      <c r="AU1850" s="5"/>
      <c r="AV1850" s="5"/>
      <c r="AW1850" s="5"/>
      <c r="AX1850" s="5"/>
    </row>
    <row r="1851" spans="8:50" x14ac:dyDescent="0.2">
      <c r="H1851" s="5"/>
      <c r="I1851" s="5"/>
      <c r="J1851" s="5"/>
      <c r="K1851" s="5"/>
      <c r="AT1851" s="5"/>
      <c r="AU1851" s="5"/>
      <c r="AV1851" s="5"/>
      <c r="AW1851" s="5"/>
      <c r="AX1851" s="5"/>
    </row>
    <row r="1852" spans="8:50" x14ac:dyDescent="0.2">
      <c r="H1852" s="5"/>
      <c r="I1852" s="5"/>
      <c r="J1852" s="5"/>
      <c r="K1852" s="5"/>
      <c r="AT1852" s="5"/>
      <c r="AU1852" s="5"/>
      <c r="AV1852" s="5"/>
      <c r="AW1852" s="5"/>
      <c r="AX1852" s="5"/>
    </row>
    <row r="1853" spans="8:50" x14ac:dyDescent="0.2">
      <c r="H1853" s="5"/>
      <c r="I1853" s="5"/>
      <c r="J1853" s="5"/>
      <c r="K1853" s="5"/>
      <c r="AT1853" s="5"/>
      <c r="AU1853" s="5"/>
      <c r="AV1853" s="5"/>
      <c r="AW1853" s="5"/>
      <c r="AX1853" s="5"/>
    </row>
    <row r="1854" spans="8:50" x14ac:dyDescent="0.2">
      <c r="H1854" s="5"/>
      <c r="I1854" s="5"/>
      <c r="J1854" s="5"/>
      <c r="K1854" s="5"/>
      <c r="AT1854" s="5"/>
      <c r="AU1854" s="5"/>
      <c r="AV1854" s="5"/>
      <c r="AW1854" s="5"/>
      <c r="AX1854" s="5"/>
    </row>
    <row r="1855" spans="8:50" x14ac:dyDescent="0.2">
      <c r="H1855" s="5"/>
      <c r="I1855" s="5"/>
      <c r="J1855" s="5"/>
      <c r="K1855" s="5"/>
      <c r="AT1855" s="5"/>
      <c r="AU1855" s="5"/>
      <c r="AV1855" s="5"/>
      <c r="AW1855" s="5"/>
      <c r="AX1855" s="5"/>
    </row>
    <row r="1856" spans="8:50" x14ac:dyDescent="0.2">
      <c r="H1856" s="5"/>
      <c r="I1856" s="5"/>
      <c r="J1856" s="5"/>
      <c r="K1856" s="5"/>
      <c r="AT1856" s="5"/>
      <c r="AU1856" s="5"/>
      <c r="AV1856" s="5"/>
      <c r="AW1856" s="5"/>
      <c r="AX1856" s="5"/>
    </row>
    <row r="1857" spans="8:50" x14ac:dyDescent="0.2">
      <c r="H1857" s="5"/>
      <c r="I1857" s="5"/>
      <c r="J1857" s="5"/>
      <c r="K1857" s="5"/>
      <c r="AT1857" s="5"/>
      <c r="AU1857" s="5"/>
      <c r="AV1857" s="5"/>
      <c r="AW1857" s="5"/>
      <c r="AX1857" s="5"/>
    </row>
    <row r="1858" spans="8:50" x14ac:dyDescent="0.2">
      <c r="H1858" s="5"/>
      <c r="I1858" s="5"/>
      <c r="J1858" s="5"/>
      <c r="K1858" s="5"/>
      <c r="AT1858" s="5"/>
      <c r="AU1858" s="5"/>
      <c r="AV1858" s="5"/>
      <c r="AW1858" s="5"/>
      <c r="AX1858" s="5"/>
    </row>
    <row r="1859" spans="8:50" x14ac:dyDescent="0.2">
      <c r="H1859" s="5"/>
      <c r="I1859" s="5"/>
      <c r="J1859" s="5"/>
      <c r="K1859" s="5"/>
      <c r="AT1859" s="5"/>
      <c r="AU1859" s="5"/>
      <c r="AV1859" s="5"/>
      <c r="AW1859" s="5"/>
      <c r="AX1859" s="5"/>
    </row>
    <row r="1860" spans="8:50" x14ac:dyDescent="0.2">
      <c r="H1860" s="5"/>
      <c r="I1860" s="5"/>
      <c r="J1860" s="5"/>
      <c r="K1860" s="5"/>
      <c r="AT1860" s="5"/>
      <c r="AU1860" s="5"/>
      <c r="AV1860" s="5"/>
      <c r="AW1860" s="5"/>
      <c r="AX1860" s="5"/>
    </row>
    <row r="1861" spans="8:50" x14ac:dyDescent="0.2">
      <c r="H1861" s="5"/>
      <c r="I1861" s="5"/>
      <c r="J1861" s="5"/>
      <c r="K1861" s="5"/>
      <c r="AT1861" s="5"/>
      <c r="AU1861" s="5"/>
      <c r="AV1861" s="5"/>
      <c r="AW1861" s="5"/>
      <c r="AX1861" s="5"/>
    </row>
    <row r="1862" spans="8:50" x14ac:dyDescent="0.2">
      <c r="H1862" s="5"/>
      <c r="I1862" s="5"/>
      <c r="J1862" s="5"/>
      <c r="K1862" s="5"/>
      <c r="AT1862" s="5"/>
      <c r="AU1862" s="5"/>
      <c r="AV1862" s="5"/>
      <c r="AW1862" s="5"/>
      <c r="AX1862" s="5"/>
    </row>
    <row r="1863" spans="8:50" x14ac:dyDescent="0.2">
      <c r="H1863" s="5"/>
      <c r="I1863" s="5"/>
      <c r="J1863" s="5"/>
      <c r="K1863" s="5"/>
      <c r="AT1863" s="5"/>
      <c r="AU1863" s="5"/>
      <c r="AV1863" s="5"/>
      <c r="AW1863" s="5"/>
      <c r="AX1863" s="5"/>
    </row>
    <row r="1864" spans="8:50" x14ac:dyDescent="0.2">
      <c r="H1864" s="5"/>
      <c r="I1864" s="5"/>
      <c r="J1864" s="5"/>
      <c r="K1864" s="5"/>
      <c r="AT1864" s="5"/>
      <c r="AU1864" s="5"/>
      <c r="AV1864" s="5"/>
      <c r="AW1864" s="5"/>
      <c r="AX1864" s="5"/>
    </row>
    <row r="1865" spans="8:50" x14ac:dyDescent="0.2">
      <c r="H1865" s="5"/>
      <c r="I1865" s="5"/>
      <c r="J1865" s="5"/>
      <c r="K1865" s="5"/>
      <c r="AT1865" s="5"/>
      <c r="AU1865" s="5"/>
      <c r="AV1865" s="5"/>
      <c r="AW1865" s="5"/>
      <c r="AX1865" s="5"/>
    </row>
    <row r="1866" spans="8:50" x14ac:dyDescent="0.2">
      <c r="H1866" s="5"/>
      <c r="I1866" s="5"/>
      <c r="J1866" s="5"/>
      <c r="K1866" s="5"/>
      <c r="AT1866" s="5"/>
      <c r="AU1866" s="5"/>
      <c r="AV1866" s="5"/>
      <c r="AW1866" s="5"/>
      <c r="AX1866" s="5"/>
    </row>
    <row r="1867" spans="8:50" x14ac:dyDescent="0.2">
      <c r="H1867" s="5"/>
      <c r="I1867" s="5"/>
      <c r="J1867" s="5"/>
      <c r="K1867" s="5"/>
      <c r="AT1867" s="5"/>
      <c r="AU1867" s="5"/>
      <c r="AV1867" s="5"/>
      <c r="AW1867" s="5"/>
      <c r="AX1867" s="5"/>
    </row>
    <row r="1868" spans="8:50" x14ac:dyDescent="0.2">
      <c r="H1868" s="5"/>
      <c r="I1868" s="5"/>
      <c r="J1868" s="5"/>
      <c r="K1868" s="5"/>
      <c r="AT1868" s="5"/>
      <c r="AU1868" s="5"/>
      <c r="AV1868" s="5"/>
      <c r="AW1868" s="5"/>
      <c r="AX1868" s="5"/>
    </row>
    <row r="1869" spans="8:50" x14ac:dyDescent="0.2">
      <c r="H1869" s="5"/>
      <c r="I1869" s="5"/>
      <c r="J1869" s="5"/>
      <c r="K1869" s="5"/>
      <c r="AT1869" s="5"/>
      <c r="AU1869" s="5"/>
      <c r="AV1869" s="5"/>
      <c r="AW1869" s="5"/>
      <c r="AX1869" s="5"/>
    </row>
    <row r="1870" spans="8:50" x14ac:dyDescent="0.2">
      <c r="H1870" s="5"/>
      <c r="I1870" s="5"/>
      <c r="J1870" s="5"/>
      <c r="K1870" s="5"/>
      <c r="AT1870" s="5"/>
      <c r="AU1870" s="5"/>
      <c r="AV1870" s="5"/>
      <c r="AW1870" s="5"/>
      <c r="AX1870" s="5"/>
    </row>
    <row r="1871" spans="8:50" x14ac:dyDescent="0.2">
      <c r="H1871" s="5"/>
      <c r="I1871" s="5"/>
      <c r="J1871" s="5"/>
      <c r="K1871" s="5"/>
      <c r="AT1871" s="5"/>
      <c r="AU1871" s="5"/>
      <c r="AV1871" s="5"/>
      <c r="AW1871" s="5"/>
      <c r="AX1871" s="5"/>
    </row>
    <row r="1872" spans="8:50" x14ac:dyDescent="0.2">
      <c r="H1872" s="5"/>
      <c r="I1872" s="5"/>
      <c r="J1872" s="5"/>
      <c r="K1872" s="5"/>
      <c r="AT1872" s="5"/>
      <c r="AU1872" s="5"/>
      <c r="AV1872" s="5"/>
      <c r="AW1872" s="5"/>
      <c r="AX1872" s="5"/>
    </row>
    <row r="1873" spans="8:50" x14ac:dyDescent="0.2">
      <c r="H1873" s="5"/>
      <c r="I1873" s="5"/>
      <c r="J1873" s="5"/>
      <c r="K1873" s="5"/>
      <c r="AT1873" s="5"/>
      <c r="AU1873" s="5"/>
      <c r="AV1873" s="5"/>
      <c r="AW1873" s="5"/>
      <c r="AX1873" s="5"/>
    </row>
    <row r="1874" spans="8:50" x14ac:dyDescent="0.2">
      <c r="H1874" s="5"/>
      <c r="I1874" s="5"/>
      <c r="J1874" s="5"/>
      <c r="K1874" s="5"/>
      <c r="AT1874" s="5"/>
      <c r="AU1874" s="5"/>
      <c r="AV1874" s="5"/>
      <c r="AW1874" s="5"/>
      <c r="AX1874" s="5"/>
    </row>
    <row r="1875" spans="8:50" x14ac:dyDescent="0.2">
      <c r="H1875" s="5"/>
      <c r="I1875" s="5"/>
      <c r="J1875" s="5"/>
      <c r="K1875" s="5"/>
      <c r="AT1875" s="5"/>
      <c r="AU1875" s="5"/>
      <c r="AV1875" s="5"/>
      <c r="AW1875" s="5"/>
      <c r="AX1875" s="5"/>
    </row>
    <row r="1876" spans="8:50" x14ac:dyDescent="0.2">
      <c r="H1876" s="5"/>
      <c r="I1876" s="5"/>
      <c r="J1876" s="5"/>
      <c r="K1876" s="5"/>
      <c r="AT1876" s="5"/>
      <c r="AU1876" s="5"/>
      <c r="AV1876" s="5"/>
      <c r="AW1876" s="5"/>
      <c r="AX1876" s="5"/>
    </row>
    <row r="1877" spans="8:50" x14ac:dyDescent="0.2">
      <c r="H1877" s="5"/>
      <c r="I1877" s="5"/>
      <c r="J1877" s="5"/>
      <c r="K1877" s="5"/>
      <c r="AT1877" s="5"/>
      <c r="AU1877" s="5"/>
      <c r="AV1877" s="5"/>
      <c r="AW1877" s="5"/>
      <c r="AX1877" s="5"/>
    </row>
    <row r="1878" spans="8:50" x14ac:dyDescent="0.2">
      <c r="H1878" s="5"/>
      <c r="I1878" s="5"/>
      <c r="J1878" s="5"/>
      <c r="K1878" s="5"/>
      <c r="AT1878" s="5"/>
      <c r="AU1878" s="5"/>
      <c r="AV1878" s="5"/>
      <c r="AW1878" s="5"/>
      <c r="AX1878" s="5"/>
    </row>
    <row r="1879" spans="8:50" x14ac:dyDescent="0.2">
      <c r="H1879" s="5"/>
      <c r="I1879" s="5"/>
      <c r="J1879" s="5"/>
      <c r="K1879" s="5"/>
      <c r="AT1879" s="5"/>
      <c r="AU1879" s="5"/>
      <c r="AV1879" s="5"/>
      <c r="AW1879" s="5"/>
      <c r="AX1879" s="5"/>
    </row>
    <row r="1880" spans="8:50" x14ac:dyDescent="0.2">
      <c r="H1880" s="5"/>
      <c r="I1880" s="5"/>
      <c r="J1880" s="5"/>
      <c r="K1880" s="5"/>
      <c r="AT1880" s="5"/>
      <c r="AU1880" s="5"/>
      <c r="AV1880" s="5"/>
      <c r="AW1880" s="5"/>
      <c r="AX1880" s="5"/>
    </row>
    <row r="1881" spans="8:50" x14ac:dyDescent="0.2">
      <c r="H1881" s="5"/>
      <c r="I1881" s="5"/>
      <c r="J1881" s="5"/>
      <c r="K1881" s="5"/>
      <c r="AT1881" s="5"/>
      <c r="AU1881" s="5"/>
      <c r="AV1881" s="5"/>
      <c r="AW1881" s="5"/>
      <c r="AX1881" s="5"/>
    </row>
    <row r="1882" spans="8:50" x14ac:dyDescent="0.2">
      <c r="H1882" s="5"/>
      <c r="I1882" s="5"/>
      <c r="J1882" s="5"/>
      <c r="K1882" s="5"/>
      <c r="AT1882" s="5"/>
      <c r="AU1882" s="5"/>
      <c r="AV1882" s="5"/>
      <c r="AW1882" s="5"/>
      <c r="AX1882" s="5"/>
    </row>
    <row r="1883" spans="8:50" x14ac:dyDescent="0.2">
      <c r="H1883" s="5"/>
      <c r="I1883" s="5"/>
      <c r="J1883" s="5"/>
      <c r="K1883" s="5"/>
      <c r="AT1883" s="5"/>
      <c r="AU1883" s="5"/>
      <c r="AV1883" s="5"/>
      <c r="AW1883" s="5"/>
      <c r="AX1883" s="5"/>
    </row>
    <row r="1884" spans="8:50" x14ac:dyDescent="0.2">
      <c r="H1884" s="5"/>
      <c r="I1884" s="5"/>
      <c r="J1884" s="5"/>
      <c r="K1884" s="5"/>
      <c r="AT1884" s="5"/>
      <c r="AU1884" s="5"/>
      <c r="AV1884" s="5"/>
      <c r="AW1884" s="5"/>
      <c r="AX1884" s="5"/>
    </row>
    <row r="1885" spans="8:50" x14ac:dyDescent="0.2">
      <c r="H1885" s="5"/>
      <c r="I1885" s="5"/>
      <c r="J1885" s="5"/>
      <c r="K1885" s="5"/>
      <c r="AT1885" s="5"/>
      <c r="AU1885" s="5"/>
      <c r="AV1885" s="5"/>
      <c r="AW1885" s="5"/>
      <c r="AX1885" s="5"/>
    </row>
    <row r="1886" spans="8:50" x14ac:dyDescent="0.2">
      <c r="H1886" s="5"/>
      <c r="I1886" s="5"/>
      <c r="J1886" s="5"/>
      <c r="K1886" s="5"/>
      <c r="AT1886" s="5"/>
      <c r="AU1886" s="5"/>
      <c r="AV1886" s="5"/>
      <c r="AW1886" s="5"/>
      <c r="AX1886" s="5"/>
    </row>
    <row r="1887" spans="8:50" x14ac:dyDescent="0.2">
      <c r="H1887" s="5"/>
      <c r="I1887" s="5"/>
      <c r="J1887" s="5"/>
      <c r="K1887" s="5"/>
      <c r="AT1887" s="5"/>
      <c r="AU1887" s="5"/>
      <c r="AV1887" s="5"/>
      <c r="AW1887" s="5"/>
      <c r="AX1887" s="5"/>
    </row>
    <row r="1888" spans="8:50" x14ac:dyDescent="0.2">
      <c r="H1888" s="5"/>
      <c r="I1888" s="5"/>
      <c r="J1888" s="5"/>
      <c r="K1888" s="5"/>
      <c r="AT1888" s="5"/>
      <c r="AU1888" s="5"/>
      <c r="AV1888" s="5"/>
      <c r="AW1888" s="5"/>
      <c r="AX1888" s="5"/>
    </row>
    <row r="1889" spans="8:50" x14ac:dyDescent="0.2">
      <c r="H1889" s="5"/>
      <c r="I1889" s="5"/>
      <c r="J1889" s="5"/>
      <c r="K1889" s="5"/>
      <c r="AT1889" s="5"/>
      <c r="AU1889" s="5"/>
      <c r="AV1889" s="5"/>
      <c r="AW1889" s="5"/>
      <c r="AX1889" s="5"/>
    </row>
    <row r="1890" spans="8:50" x14ac:dyDescent="0.2">
      <c r="H1890" s="5"/>
      <c r="I1890" s="5"/>
      <c r="J1890" s="5"/>
      <c r="K1890" s="5"/>
      <c r="AT1890" s="5"/>
      <c r="AU1890" s="5"/>
      <c r="AV1890" s="5"/>
      <c r="AW1890" s="5"/>
      <c r="AX1890" s="5"/>
    </row>
    <row r="1891" spans="8:50" x14ac:dyDescent="0.2">
      <c r="H1891" s="5"/>
      <c r="I1891" s="5"/>
      <c r="J1891" s="5"/>
      <c r="K1891" s="5"/>
      <c r="AT1891" s="5"/>
      <c r="AU1891" s="5"/>
      <c r="AV1891" s="5"/>
      <c r="AW1891" s="5"/>
      <c r="AX1891" s="5"/>
    </row>
    <row r="1892" spans="8:50" x14ac:dyDescent="0.2">
      <c r="H1892" s="5"/>
      <c r="I1892" s="5"/>
      <c r="J1892" s="5"/>
      <c r="K1892" s="5"/>
      <c r="AT1892" s="5"/>
      <c r="AU1892" s="5"/>
      <c r="AV1892" s="5"/>
      <c r="AW1892" s="5"/>
      <c r="AX1892" s="5"/>
    </row>
    <row r="1893" spans="8:50" x14ac:dyDescent="0.2">
      <c r="H1893" s="5"/>
      <c r="I1893" s="5"/>
      <c r="J1893" s="5"/>
      <c r="K1893" s="5"/>
      <c r="AT1893" s="5"/>
      <c r="AU1893" s="5"/>
      <c r="AV1893" s="5"/>
      <c r="AW1893" s="5"/>
      <c r="AX1893" s="5"/>
    </row>
    <row r="1894" spans="8:50" x14ac:dyDescent="0.2">
      <c r="H1894" s="5"/>
      <c r="I1894" s="5"/>
      <c r="J1894" s="5"/>
      <c r="K1894" s="5"/>
      <c r="AT1894" s="5"/>
      <c r="AU1894" s="5"/>
      <c r="AV1894" s="5"/>
      <c r="AW1894" s="5"/>
      <c r="AX1894" s="5"/>
    </row>
    <row r="1895" spans="8:50" x14ac:dyDescent="0.2">
      <c r="H1895" s="5"/>
      <c r="I1895" s="5"/>
      <c r="J1895" s="5"/>
      <c r="K1895" s="5"/>
      <c r="AT1895" s="5"/>
      <c r="AU1895" s="5"/>
      <c r="AV1895" s="5"/>
      <c r="AW1895" s="5"/>
      <c r="AX1895" s="5"/>
    </row>
    <row r="1896" spans="8:50" x14ac:dyDescent="0.2">
      <c r="H1896" s="5"/>
      <c r="I1896" s="5"/>
      <c r="J1896" s="5"/>
      <c r="K1896" s="5"/>
      <c r="AT1896" s="5"/>
      <c r="AU1896" s="5"/>
      <c r="AV1896" s="5"/>
      <c r="AW1896" s="5"/>
      <c r="AX1896" s="5"/>
    </row>
    <row r="1897" spans="8:50" x14ac:dyDescent="0.2">
      <c r="H1897" s="5"/>
      <c r="I1897" s="5"/>
      <c r="J1897" s="5"/>
      <c r="K1897" s="5"/>
      <c r="AT1897" s="5"/>
      <c r="AU1897" s="5"/>
      <c r="AV1897" s="5"/>
      <c r="AW1897" s="5"/>
      <c r="AX1897" s="5"/>
    </row>
    <row r="1898" spans="8:50" x14ac:dyDescent="0.2">
      <c r="H1898" s="5"/>
      <c r="I1898" s="5"/>
      <c r="J1898" s="5"/>
      <c r="K1898" s="5"/>
      <c r="AT1898" s="5"/>
      <c r="AU1898" s="5"/>
      <c r="AV1898" s="5"/>
      <c r="AW1898" s="5"/>
      <c r="AX1898" s="5"/>
    </row>
    <row r="1899" spans="8:50" x14ac:dyDescent="0.2">
      <c r="H1899" s="5"/>
      <c r="I1899" s="5"/>
      <c r="J1899" s="5"/>
      <c r="K1899" s="5"/>
      <c r="AT1899" s="5"/>
      <c r="AU1899" s="5"/>
      <c r="AV1899" s="5"/>
      <c r="AW1899" s="5"/>
      <c r="AX1899" s="5"/>
    </row>
    <row r="1900" spans="8:50" x14ac:dyDescent="0.2">
      <c r="H1900" s="5"/>
      <c r="I1900" s="5"/>
      <c r="J1900" s="5"/>
      <c r="K1900" s="5"/>
      <c r="AT1900" s="5"/>
      <c r="AU1900" s="5"/>
      <c r="AV1900" s="5"/>
      <c r="AW1900" s="5"/>
      <c r="AX1900" s="5"/>
    </row>
    <row r="1901" spans="8:50" x14ac:dyDescent="0.2">
      <c r="H1901" s="5"/>
      <c r="I1901" s="5"/>
      <c r="J1901" s="5"/>
      <c r="K1901" s="5"/>
      <c r="AT1901" s="5"/>
      <c r="AU1901" s="5"/>
      <c r="AV1901" s="5"/>
      <c r="AW1901" s="5"/>
      <c r="AX1901" s="5"/>
    </row>
    <row r="1902" spans="8:50" x14ac:dyDescent="0.2">
      <c r="H1902" s="5"/>
      <c r="I1902" s="5"/>
      <c r="J1902" s="5"/>
      <c r="K1902" s="5"/>
      <c r="AT1902" s="5"/>
      <c r="AU1902" s="5"/>
      <c r="AV1902" s="5"/>
      <c r="AW1902" s="5"/>
      <c r="AX1902" s="5"/>
    </row>
    <row r="1903" spans="8:50" x14ac:dyDescent="0.2">
      <c r="H1903" s="5"/>
      <c r="I1903" s="5"/>
      <c r="J1903" s="5"/>
      <c r="K1903" s="5"/>
      <c r="AT1903" s="5"/>
      <c r="AU1903" s="5"/>
      <c r="AV1903" s="5"/>
      <c r="AW1903" s="5"/>
      <c r="AX1903" s="5"/>
    </row>
    <row r="1904" spans="8:50" x14ac:dyDescent="0.2">
      <c r="H1904" s="5"/>
      <c r="I1904" s="5"/>
      <c r="J1904" s="5"/>
      <c r="K1904" s="5"/>
      <c r="AT1904" s="5"/>
      <c r="AU1904" s="5"/>
      <c r="AV1904" s="5"/>
      <c r="AW1904" s="5"/>
      <c r="AX1904" s="5"/>
    </row>
    <row r="1905" spans="8:50" x14ac:dyDescent="0.2">
      <c r="H1905" s="5"/>
      <c r="I1905" s="5"/>
      <c r="J1905" s="5"/>
      <c r="K1905" s="5"/>
      <c r="AT1905" s="5"/>
      <c r="AU1905" s="5"/>
      <c r="AV1905" s="5"/>
      <c r="AW1905" s="5"/>
      <c r="AX1905" s="5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07F2-5175-47FD-8F49-85EDABA7E464}">
  <sheetPr>
    <tabColor rgb="FFC00000"/>
  </sheetPr>
  <dimension ref="A1:AW2005"/>
  <sheetViews>
    <sheetView topLeftCell="Q55" zoomScaleNormal="100" workbookViewId="0">
      <selection activeCell="H9" sqref="H9"/>
    </sheetView>
  </sheetViews>
  <sheetFormatPr defaultRowHeight="12.75" x14ac:dyDescent="0.2"/>
  <cols>
    <col min="21" max="21" width="13.7109375" customWidth="1"/>
    <col min="22" max="22" width="14.28515625" customWidth="1"/>
    <col min="23" max="23" width="13.140625" customWidth="1"/>
    <col min="26" max="40" width="9.140625" style="2"/>
    <col min="41" max="41" width="13.85546875" style="2" bestFit="1" customWidth="1"/>
    <col min="42" max="44" width="9.140625" style="2"/>
  </cols>
  <sheetData>
    <row r="1" spans="1:40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  <row r="2" spans="1:40" ht="76.5" x14ac:dyDescent="0.2">
      <c r="A2" t="s">
        <v>137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153</v>
      </c>
      <c r="I2" s="3" t="s">
        <v>150</v>
      </c>
      <c r="J2" s="3" t="s">
        <v>152</v>
      </c>
      <c r="K2" s="3" t="s">
        <v>151</v>
      </c>
      <c r="L2" s="3"/>
      <c r="M2" s="3"/>
      <c r="N2" s="3"/>
      <c r="O2" s="3"/>
      <c r="P2" s="3"/>
      <c r="Q2" s="3"/>
    </row>
    <row r="3" spans="1:40" x14ac:dyDescent="0.2">
      <c r="B3" t="s">
        <v>6</v>
      </c>
    </row>
    <row r="4" spans="1:40" x14ac:dyDescent="0.2">
      <c r="B4" t="s">
        <v>7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I4" t="s">
        <v>9</v>
      </c>
    </row>
    <row r="8" spans="1:40" x14ac:dyDescent="0.2">
      <c r="T8" s="23"/>
      <c r="U8" s="23"/>
      <c r="V8" s="23" t="s">
        <v>10</v>
      </c>
      <c r="W8" s="23" t="s">
        <v>11</v>
      </c>
      <c r="X8" s="23" t="s">
        <v>12</v>
      </c>
      <c r="Y8" s="23"/>
    </row>
    <row r="9" spans="1:40" x14ac:dyDescent="0.2">
      <c r="A9">
        <v>2026</v>
      </c>
      <c r="C9" s="14">
        <f>Results_from_model!C9</f>
        <v>-0.13200000000000001</v>
      </c>
      <c r="D9" s="14">
        <f>Results_from_model!D9</f>
        <v>-0.17499999999999999</v>
      </c>
      <c r="E9" s="14">
        <f>Results_from_model!E9</f>
        <v>-0.36899999999999999</v>
      </c>
      <c r="F9" s="14">
        <f>Results_from_model!F9</f>
        <v>-0.17699999999999999</v>
      </c>
      <c r="G9" s="14">
        <f>Results_from_model!G9</f>
        <v>-0.189</v>
      </c>
      <c r="H9" s="14">
        <f>Results_from_model!H9</f>
        <v>-0.42699999999999999</v>
      </c>
      <c r="I9" s="14">
        <f>Results_from_model!I9</f>
        <v>-0.315</v>
      </c>
      <c r="J9" s="14">
        <f>Results_from_model!J9</f>
        <v>-0.78200000000000003</v>
      </c>
      <c r="K9" s="14">
        <f>Results_from_model!K9</f>
        <v>0.14699999999999999</v>
      </c>
      <c r="T9" s="24">
        <v>2026</v>
      </c>
      <c r="U9" s="23" t="s">
        <v>13</v>
      </c>
      <c r="V9" s="23">
        <f>C9</f>
        <v>-0.13200000000000001</v>
      </c>
      <c r="W9" s="23">
        <f>D9</f>
        <v>-0.17499999999999999</v>
      </c>
      <c r="X9" s="23">
        <f>E9</f>
        <v>-0.36899999999999999</v>
      </c>
      <c r="Y9" s="23">
        <f>I9</f>
        <v>-0.315</v>
      </c>
    </row>
    <row r="10" spans="1:40" x14ac:dyDescent="0.2">
      <c r="A10">
        <f>A9+0.25</f>
        <v>2026.25</v>
      </c>
      <c r="C10" s="14">
        <f>Results_from_model!C10</f>
        <v>-7.4999999999999997E-2</v>
      </c>
      <c r="D10" s="14">
        <f>Results_from_model!D10</f>
        <v>-0.20100000000000001</v>
      </c>
      <c r="E10" s="14">
        <f>Results_from_model!E10</f>
        <v>-0.376</v>
      </c>
      <c r="F10" s="14">
        <f>Results_from_model!F10</f>
        <v>-0.122</v>
      </c>
      <c r="G10" s="14">
        <f>Results_from_model!G10</f>
        <v>-0.22</v>
      </c>
      <c r="H10" s="14">
        <f>Results_from_model!H10</f>
        <v>-0.44</v>
      </c>
      <c r="I10" s="14">
        <f>Results_from_model!I10</f>
        <v>-0.33200000000000002</v>
      </c>
      <c r="J10" s="14">
        <f>Results_from_model!J10</f>
        <v>-0.85199999999999998</v>
      </c>
      <c r="K10" s="14">
        <f>Results_from_model!K10</f>
        <v>0.185</v>
      </c>
      <c r="T10" s="24">
        <v>2030</v>
      </c>
      <c r="U10" s="23" t="s">
        <v>15</v>
      </c>
      <c r="V10" s="23">
        <f>C25</f>
        <v>0.61899999999999999</v>
      </c>
      <c r="W10" s="23">
        <f>D25</f>
        <v>-0.214</v>
      </c>
      <c r="X10" s="23">
        <f>E25</f>
        <v>0.47299999999999998</v>
      </c>
      <c r="Y10" s="23">
        <f>I25</f>
        <v>0.19500000000000001</v>
      </c>
      <c r="AN10" s="8"/>
    </row>
    <row r="11" spans="1:40" x14ac:dyDescent="0.2">
      <c r="A11">
        <f t="shared" ref="A11:A74" si="0">A10+0.25</f>
        <v>2026.5</v>
      </c>
      <c r="C11" s="14">
        <f>Results_from_model!C11</f>
        <v>-0.02</v>
      </c>
      <c r="D11" s="14">
        <f>Results_from_model!D11</f>
        <v>-0.224</v>
      </c>
      <c r="E11" s="14">
        <f>Results_from_model!E11</f>
        <v>-0.36399999999999999</v>
      </c>
      <c r="F11" s="14">
        <f>Results_from_model!F11</f>
        <v>-6.7000000000000004E-2</v>
      </c>
      <c r="G11" s="14">
        <f>Results_from_model!G11</f>
        <v>-0.248</v>
      </c>
      <c r="H11" s="14">
        <f>Results_from_model!H11</f>
        <v>-0.435</v>
      </c>
      <c r="I11" s="14">
        <f>Results_from_model!I11</f>
        <v>-0.33600000000000002</v>
      </c>
      <c r="J11" s="14">
        <f>Results_from_model!J11</f>
        <v>-0.90700000000000003</v>
      </c>
      <c r="K11" s="14">
        <f>Results_from_model!K11</f>
        <v>0.23699999999999999</v>
      </c>
      <c r="T11" s="24">
        <v>2040</v>
      </c>
      <c r="U11" s="23" t="s">
        <v>17</v>
      </c>
      <c r="V11" s="23">
        <f>C65</f>
        <v>1.6579999999999999</v>
      </c>
      <c r="W11" s="23">
        <f>D65</f>
        <v>1.4350000000000001</v>
      </c>
      <c r="X11" s="23">
        <f>E65</f>
        <v>2.3650000000000002</v>
      </c>
      <c r="Y11" s="23">
        <f>I65</f>
        <v>2.202</v>
      </c>
      <c r="AN11" s="8"/>
    </row>
    <row r="12" spans="1:40" x14ac:dyDescent="0.2">
      <c r="A12">
        <f t="shared" si="0"/>
        <v>2026.75</v>
      </c>
      <c r="C12" s="14">
        <f>Results_from_model!C12</f>
        <v>3.4000000000000002E-2</v>
      </c>
      <c r="D12" s="14">
        <f>Results_from_model!D12</f>
        <v>-0.24299999999999999</v>
      </c>
      <c r="E12" s="14">
        <f>Results_from_model!E12</f>
        <v>-0.33700000000000002</v>
      </c>
      <c r="F12" s="14">
        <f>Results_from_model!F12</f>
        <v>-1.4E-2</v>
      </c>
      <c r="G12" s="14">
        <f>Results_from_model!G12</f>
        <v>-0.27300000000000002</v>
      </c>
      <c r="H12" s="14">
        <f>Results_from_model!H12</f>
        <v>-0.41499999999999998</v>
      </c>
      <c r="I12" s="14">
        <f>Results_from_model!I12</f>
        <v>-0.32800000000000001</v>
      </c>
      <c r="J12" s="14">
        <f>Results_from_model!J12</f>
        <v>-0.94799999999999995</v>
      </c>
      <c r="K12" s="14">
        <f>Results_from_model!K12</f>
        <v>0.29699999999999999</v>
      </c>
      <c r="T12" s="24">
        <v>2050</v>
      </c>
      <c r="U12" s="23" t="s">
        <v>19</v>
      </c>
      <c r="V12" s="23">
        <f>C105</f>
        <v>2.1549999999999998</v>
      </c>
      <c r="W12" s="23">
        <f>D105</f>
        <v>3.2850000000000001</v>
      </c>
      <c r="X12" s="23">
        <f>E105</f>
        <v>3.2109999999999999</v>
      </c>
      <c r="Y12" s="23">
        <f>I105</f>
        <v>3.6989999999999998</v>
      </c>
      <c r="AN12" s="8"/>
    </row>
    <row r="13" spans="1:40" x14ac:dyDescent="0.2">
      <c r="A13">
        <f t="shared" si="0"/>
        <v>2027</v>
      </c>
      <c r="C13" s="14">
        <f>Results_from_model!C13</f>
        <v>8.6999999999999994E-2</v>
      </c>
      <c r="D13" s="14">
        <f>Results_from_model!D13</f>
        <v>-0.25900000000000001</v>
      </c>
      <c r="E13" s="14">
        <f>Results_from_model!E13</f>
        <v>-0.29799999999999999</v>
      </c>
      <c r="F13" s="14">
        <f>Results_from_model!F13</f>
        <v>3.9E-2</v>
      </c>
      <c r="G13" s="14">
        <f>Results_from_model!G13</f>
        <v>-0.29499999999999998</v>
      </c>
      <c r="H13" s="14">
        <f>Results_from_model!H13</f>
        <v>-0.38200000000000001</v>
      </c>
      <c r="I13" s="14">
        <f>Results_from_model!I13</f>
        <v>-0.312</v>
      </c>
      <c r="J13" s="14">
        <f>Results_from_model!J13</f>
        <v>-0.97499999999999998</v>
      </c>
      <c r="K13" s="14">
        <f>Results_from_model!K13</f>
        <v>0.36399999999999999</v>
      </c>
      <c r="AN13" s="8"/>
    </row>
    <row r="14" spans="1:40" x14ac:dyDescent="0.2">
      <c r="A14">
        <f t="shared" si="0"/>
        <v>2027.25</v>
      </c>
      <c r="C14" s="14">
        <f>Results_from_model!C14</f>
        <v>0.13800000000000001</v>
      </c>
      <c r="D14" s="14">
        <f>Results_from_model!D14</f>
        <v>-0.27200000000000002</v>
      </c>
      <c r="E14" s="14">
        <f>Results_from_model!E14</f>
        <v>-0.25</v>
      </c>
      <c r="F14" s="14">
        <f>Results_from_model!F14</f>
        <v>0.09</v>
      </c>
      <c r="G14" s="14">
        <f>Results_from_model!G14</f>
        <v>-0.313</v>
      </c>
      <c r="H14" s="14">
        <f>Results_from_model!H14</f>
        <v>-0.34</v>
      </c>
      <c r="I14" s="14">
        <f>Results_from_model!I14</f>
        <v>-0.28699999999999998</v>
      </c>
      <c r="J14" s="14">
        <f>Results_from_model!J14</f>
        <v>-0.99199999999999999</v>
      </c>
      <c r="K14" s="14">
        <f>Results_from_model!K14</f>
        <v>0.435</v>
      </c>
    </row>
    <row r="15" spans="1:40" x14ac:dyDescent="0.2">
      <c r="A15">
        <f t="shared" si="0"/>
        <v>2027.5</v>
      </c>
      <c r="C15" s="14">
        <f>Results_from_model!C15</f>
        <v>0.188</v>
      </c>
      <c r="D15" s="14">
        <f>Results_from_model!D15</f>
        <v>-0.28100000000000003</v>
      </c>
      <c r="E15" s="14">
        <f>Results_from_model!E15</f>
        <v>-0.19600000000000001</v>
      </c>
      <c r="F15" s="14">
        <f>Results_from_model!F15</f>
        <v>0.14099999999999999</v>
      </c>
      <c r="G15" s="14">
        <f>Results_from_model!G15</f>
        <v>-0.32700000000000001</v>
      </c>
      <c r="H15" s="14">
        <f>Results_from_model!H15</f>
        <v>-0.28999999999999998</v>
      </c>
      <c r="I15" s="14">
        <f>Results_from_model!I15</f>
        <v>-0.25700000000000001</v>
      </c>
      <c r="J15" s="14">
        <f>Results_from_model!J15</f>
        <v>-1</v>
      </c>
      <c r="K15" s="14">
        <f>Results_from_model!K15</f>
        <v>0.50900000000000001</v>
      </c>
    </row>
    <row r="16" spans="1:40" x14ac:dyDescent="0.2">
      <c r="A16">
        <f t="shared" si="0"/>
        <v>2027.75</v>
      </c>
      <c r="C16" s="14">
        <f>Results_from_model!C16</f>
        <v>0.23599999999999999</v>
      </c>
      <c r="D16" s="14">
        <f>Results_from_model!D16</f>
        <v>-0.28699999999999998</v>
      </c>
      <c r="E16" s="14">
        <f>Results_from_model!E16</f>
        <v>-0.13600000000000001</v>
      </c>
      <c r="F16" s="14">
        <f>Results_from_model!F16</f>
        <v>0.19</v>
      </c>
      <c r="G16" s="14">
        <f>Results_from_model!G16</f>
        <v>-0.33800000000000002</v>
      </c>
      <c r="H16" s="14">
        <f>Results_from_model!H16</f>
        <v>-0.23400000000000001</v>
      </c>
      <c r="I16" s="14">
        <f>Results_from_model!I16</f>
        <v>-0.222</v>
      </c>
      <c r="J16" s="14">
        <f>Results_from_model!J16</f>
        <v>-0.999</v>
      </c>
      <c r="K16" s="14">
        <f>Results_from_model!K16</f>
        <v>0.58399999999999996</v>
      </c>
    </row>
    <row r="17" spans="1:11" x14ac:dyDescent="0.2">
      <c r="A17">
        <f t="shared" si="0"/>
        <v>2028</v>
      </c>
      <c r="C17" s="14">
        <f>Results_from_model!C17</f>
        <v>0.28299999999999997</v>
      </c>
      <c r="D17" s="14">
        <f>Results_from_model!D17</f>
        <v>-0.28899999999999998</v>
      </c>
      <c r="E17" s="14">
        <f>Results_from_model!E17</f>
        <v>-7.1999999999999995E-2</v>
      </c>
      <c r="F17" s="14">
        <f>Results_from_model!F17</f>
        <v>0.23899999999999999</v>
      </c>
      <c r="G17" s="14">
        <f>Results_from_model!G17</f>
        <v>-0.34599999999999997</v>
      </c>
      <c r="H17" s="14">
        <f>Results_from_model!H17</f>
        <v>-0.17399999999999999</v>
      </c>
      <c r="I17" s="14">
        <f>Results_from_model!I17</f>
        <v>-0.184</v>
      </c>
      <c r="J17" s="14">
        <f>Results_from_model!J17</f>
        <v>-0.99099999999999999</v>
      </c>
      <c r="K17" s="14">
        <f>Results_from_model!K17</f>
        <v>0.66</v>
      </c>
    </row>
    <row r="18" spans="1:11" x14ac:dyDescent="0.2">
      <c r="A18">
        <f t="shared" si="0"/>
        <v>2028.25</v>
      </c>
      <c r="C18" s="14">
        <f>Results_from_model!C18</f>
        <v>0.32900000000000001</v>
      </c>
      <c r="D18" s="14">
        <f>Results_from_model!D18</f>
        <v>-0.28899999999999998</v>
      </c>
      <c r="E18" s="14">
        <f>Results_from_model!E18</f>
        <v>-6.0000000000000001E-3</v>
      </c>
      <c r="F18" s="14">
        <f>Results_from_model!F18</f>
        <v>0.28599999999999998</v>
      </c>
      <c r="G18" s="14">
        <f>Results_from_model!G18</f>
        <v>-0.35</v>
      </c>
      <c r="H18" s="14">
        <f>Results_from_model!H18</f>
        <v>-0.111</v>
      </c>
      <c r="I18" s="14">
        <f>Results_from_model!I18</f>
        <v>-0.14199999999999999</v>
      </c>
      <c r="J18" s="14">
        <f>Results_from_model!J18</f>
        <v>-0.97599999999999998</v>
      </c>
      <c r="K18" s="14">
        <f>Results_from_model!K18</f>
        <v>0.73599999999999999</v>
      </c>
    </row>
    <row r="19" spans="1:11" x14ac:dyDescent="0.2">
      <c r="A19">
        <f t="shared" si="0"/>
        <v>2028.5</v>
      </c>
      <c r="C19" s="14">
        <f>Results_from_model!C19</f>
        <v>0.374</v>
      </c>
      <c r="D19" s="14">
        <f>Results_from_model!D19</f>
        <v>-0.28599999999999998</v>
      </c>
      <c r="E19" s="14">
        <f>Results_from_model!E19</f>
        <v>6.0999999999999999E-2</v>
      </c>
      <c r="F19" s="14">
        <f>Results_from_model!F19</f>
        <v>0.33300000000000002</v>
      </c>
      <c r="G19" s="14">
        <f>Results_from_model!G19</f>
        <v>-0.35199999999999998</v>
      </c>
      <c r="H19" s="14">
        <f>Results_from_model!H19</f>
        <v>-4.4999999999999998E-2</v>
      </c>
      <c r="I19" s="14">
        <f>Results_from_model!I19</f>
        <v>-9.8000000000000004E-2</v>
      </c>
      <c r="J19" s="14">
        <f>Results_from_model!J19</f>
        <v>-0.95599999999999996</v>
      </c>
      <c r="K19" s="14">
        <f>Results_from_model!K19</f>
        <v>0.81100000000000005</v>
      </c>
    </row>
    <row r="20" spans="1:11" x14ac:dyDescent="0.2">
      <c r="A20">
        <f t="shared" si="0"/>
        <v>2028.75</v>
      </c>
      <c r="C20" s="14">
        <f>Results_from_model!C20</f>
        <v>0.41699999999999998</v>
      </c>
      <c r="D20" s="14">
        <f>Results_from_model!D20</f>
        <v>-0.28000000000000003</v>
      </c>
      <c r="E20" s="14">
        <f>Results_from_model!E20</f>
        <v>0.13</v>
      </c>
      <c r="F20" s="14">
        <f>Results_from_model!F20</f>
        <v>0.379</v>
      </c>
      <c r="G20" s="14">
        <f>Results_from_model!G20</f>
        <v>-0.35099999999999998</v>
      </c>
      <c r="H20" s="14">
        <f>Results_from_model!H20</f>
        <v>2.1999999999999999E-2</v>
      </c>
      <c r="I20" s="14">
        <f>Results_from_model!I20</f>
        <v>-5.1999999999999998E-2</v>
      </c>
      <c r="J20" s="14">
        <f>Results_from_model!J20</f>
        <v>-0.93100000000000005</v>
      </c>
      <c r="K20" s="14">
        <f>Results_from_model!K20</f>
        <v>0.88600000000000001</v>
      </c>
    </row>
    <row r="21" spans="1:11" x14ac:dyDescent="0.2">
      <c r="A21">
        <f t="shared" si="0"/>
        <v>2029</v>
      </c>
      <c r="C21" s="14">
        <f>Results_from_model!C21</f>
        <v>0.45900000000000002</v>
      </c>
      <c r="D21" s="14">
        <f>Results_from_model!D21</f>
        <v>-0.27200000000000002</v>
      </c>
      <c r="E21" s="14">
        <f>Results_from_model!E21</f>
        <v>0.19900000000000001</v>
      </c>
      <c r="F21" s="14">
        <f>Results_from_model!F21</f>
        <v>0.42399999999999999</v>
      </c>
      <c r="G21" s="14">
        <f>Results_from_model!G21</f>
        <v>-0.34599999999999997</v>
      </c>
      <c r="H21" s="14">
        <f>Results_from_model!H21</f>
        <v>9.0999999999999998E-2</v>
      </c>
      <c r="I21" s="14">
        <f>Results_from_model!I21</f>
        <v>-5.0000000000000001E-3</v>
      </c>
      <c r="J21" s="14">
        <f>Results_from_model!J21</f>
        <v>-0.90100000000000002</v>
      </c>
      <c r="K21" s="14">
        <f>Results_from_model!K21</f>
        <v>0.95799999999999996</v>
      </c>
    </row>
    <row r="22" spans="1:11" x14ac:dyDescent="0.2">
      <c r="A22">
        <f t="shared" si="0"/>
        <v>2029.25</v>
      </c>
      <c r="C22" s="14">
        <f>Results_from_model!C22</f>
        <v>0.501</v>
      </c>
      <c r="D22" s="14">
        <f>Results_from_model!D22</f>
        <v>-0.26100000000000001</v>
      </c>
      <c r="E22" s="14">
        <f>Results_from_model!E22</f>
        <v>0.26800000000000002</v>
      </c>
      <c r="F22" s="14">
        <f>Results_from_model!F22</f>
        <v>0.46899999999999997</v>
      </c>
      <c r="G22" s="14">
        <f>Results_from_model!G22</f>
        <v>-0.33900000000000002</v>
      </c>
      <c r="H22" s="14">
        <f>Results_from_model!H22</f>
        <v>0.16</v>
      </c>
      <c r="I22" s="14">
        <f>Results_from_model!I22</f>
        <v>4.3999999999999997E-2</v>
      </c>
      <c r="J22" s="14">
        <f>Results_from_model!J22</f>
        <v>-0.86599999999999999</v>
      </c>
      <c r="K22" s="14">
        <f>Results_from_model!K22</f>
        <v>1.0289999999999999</v>
      </c>
    </row>
    <row r="23" spans="1:11" x14ac:dyDescent="0.2">
      <c r="A23">
        <f t="shared" si="0"/>
        <v>2029.5</v>
      </c>
      <c r="C23" s="14">
        <f>Results_from_model!C23</f>
        <v>0.54100000000000004</v>
      </c>
      <c r="D23" s="14">
        <f>Results_from_model!D23</f>
        <v>-0.247</v>
      </c>
      <c r="E23" s="14">
        <f>Results_from_model!E23</f>
        <v>0.33700000000000002</v>
      </c>
      <c r="F23" s="14">
        <f>Results_from_model!F23</f>
        <v>0.51300000000000001</v>
      </c>
      <c r="G23" s="14">
        <f>Results_from_model!G23</f>
        <v>-0.33</v>
      </c>
      <c r="H23" s="14">
        <f>Results_from_model!H23</f>
        <v>0.23</v>
      </c>
      <c r="I23" s="14">
        <f>Results_from_model!I23</f>
        <v>9.4E-2</v>
      </c>
      <c r="J23" s="14">
        <f>Results_from_model!J23</f>
        <v>-0.82599999999999996</v>
      </c>
      <c r="K23" s="14">
        <f>Results_from_model!K23</f>
        <v>1.097</v>
      </c>
    </row>
    <row r="24" spans="1:11" x14ac:dyDescent="0.2">
      <c r="A24">
        <f t="shared" si="0"/>
        <v>2029.75</v>
      </c>
      <c r="C24" s="14">
        <f>Results_from_model!C24</f>
        <v>0.57999999999999996</v>
      </c>
      <c r="D24" s="14">
        <f>Results_from_model!D24</f>
        <v>-0.23200000000000001</v>
      </c>
      <c r="E24" s="14">
        <f>Results_from_model!E24</f>
        <v>0.40500000000000003</v>
      </c>
      <c r="F24" s="14">
        <f>Results_from_model!F24</f>
        <v>0.55600000000000005</v>
      </c>
      <c r="G24" s="14">
        <f>Results_from_model!G24</f>
        <v>-0.318</v>
      </c>
      <c r="H24" s="14">
        <f>Results_from_model!H24</f>
        <v>0.30099999999999999</v>
      </c>
      <c r="I24" s="14">
        <f>Results_from_model!I24</f>
        <v>0.14399999999999999</v>
      </c>
      <c r="J24" s="14">
        <f>Results_from_model!J24</f>
        <v>-0.78300000000000003</v>
      </c>
      <c r="K24" s="14">
        <f>Results_from_model!K24</f>
        <v>1.1639999999999999</v>
      </c>
    </row>
    <row r="25" spans="1:11" x14ac:dyDescent="0.2">
      <c r="A25">
        <f t="shared" si="0"/>
        <v>2030</v>
      </c>
      <c r="C25" s="14">
        <f>Results_from_model!C25</f>
        <v>0.61899999999999999</v>
      </c>
      <c r="D25" s="14">
        <f>Results_from_model!D25</f>
        <v>-0.214</v>
      </c>
      <c r="E25" s="14">
        <f>Results_from_model!E25</f>
        <v>0.47299999999999998</v>
      </c>
      <c r="F25" s="14">
        <f>Results_from_model!F25</f>
        <v>0.59899999999999998</v>
      </c>
      <c r="G25" s="14">
        <f>Results_from_model!G25</f>
        <v>-0.30299999999999999</v>
      </c>
      <c r="H25" s="14">
        <f>Results_from_model!H25</f>
        <v>0.371</v>
      </c>
      <c r="I25" s="14">
        <f>Results_from_model!I25</f>
        <v>0.19500000000000001</v>
      </c>
      <c r="J25" s="14">
        <f>Results_from_model!J25</f>
        <v>-0.73599999999999999</v>
      </c>
      <c r="K25" s="14">
        <f>Results_from_model!K25</f>
        <v>1.2270000000000001</v>
      </c>
    </row>
    <row r="26" spans="1:11" x14ac:dyDescent="0.2">
      <c r="A26">
        <f t="shared" si="0"/>
        <v>2030.25</v>
      </c>
      <c r="C26" s="14">
        <f>Results_from_model!C26</f>
        <v>0.65600000000000003</v>
      </c>
      <c r="D26" s="14">
        <f>Results_from_model!D26</f>
        <v>-0.19400000000000001</v>
      </c>
      <c r="E26" s="14">
        <f>Results_from_model!E26</f>
        <v>0.53900000000000003</v>
      </c>
      <c r="F26" s="14">
        <f>Results_from_model!F26</f>
        <v>0.64100000000000001</v>
      </c>
      <c r="G26" s="14">
        <f>Results_from_model!G26</f>
        <v>-0.28599999999999998</v>
      </c>
      <c r="H26" s="14">
        <f>Results_from_model!H26</f>
        <v>0.442</v>
      </c>
      <c r="I26" s="14">
        <f>Results_from_model!I26</f>
        <v>0.247</v>
      </c>
      <c r="J26" s="14">
        <f>Results_from_model!J26</f>
        <v>-0.68500000000000005</v>
      </c>
      <c r="K26" s="14">
        <f>Results_from_model!K26</f>
        <v>1.2889999999999999</v>
      </c>
    </row>
    <row r="27" spans="1:11" x14ac:dyDescent="0.2">
      <c r="A27">
        <f t="shared" si="0"/>
        <v>2030.5</v>
      </c>
      <c r="C27" s="14">
        <f>Results_from_model!C27</f>
        <v>0.69299999999999995</v>
      </c>
      <c r="D27" s="14">
        <f>Results_from_model!D27</f>
        <v>-0.17199999999999999</v>
      </c>
      <c r="E27" s="14">
        <f>Results_from_model!E27</f>
        <v>0.60499999999999998</v>
      </c>
      <c r="F27" s="14">
        <f>Results_from_model!F27</f>
        <v>0.68200000000000005</v>
      </c>
      <c r="G27" s="14">
        <f>Results_from_model!G27</f>
        <v>-0.26600000000000001</v>
      </c>
      <c r="H27" s="14">
        <f>Results_from_model!H27</f>
        <v>0.51200000000000001</v>
      </c>
      <c r="I27" s="14">
        <f>Results_from_model!I27</f>
        <v>0.29899999999999999</v>
      </c>
      <c r="J27" s="14">
        <f>Results_from_model!J27</f>
        <v>-0.63100000000000001</v>
      </c>
      <c r="K27" s="14">
        <f>Results_from_model!K27</f>
        <v>1.3480000000000001</v>
      </c>
    </row>
    <row r="28" spans="1:11" x14ac:dyDescent="0.2">
      <c r="A28">
        <f t="shared" si="0"/>
        <v>2030.75</v>
      </c>
      <c r="C28" s="14">
        <f>Results_from_model!C28</f>
        <v>0.72899999999999998</v>
      </c>
      <c r="D28" s="14">
        <f>Results_from_model!D28</f>
        <v>-0.14799999999999999</v>
      </c>
      <c r="E28" s="14">
        <f>Results_from_model!E28</f>
        <v>0.67</v>
      </c>
      <c r="F28" s="14">
        <f>Results_from_model!F28</f>
        <v>0.72299999999999998</v>
      </c>
      <c r="G28" s="14">
        <f>Results_from_model!G28</f>
        <v>-0.24399999999999999</v>
      </c>
      <c r="H28" s="14">
        <f>Results_from_model!H28</f>
        <v>0.58199999999999996</v>
      </c>
      <c r="I28" s="14">
        <f>Results_from_model!I28</f>
        <v>0.35099999999999998</v>
      </c>
      <c r="J28" s="14">
        <f>Results_from_model!J28</f>
        <v>-0.57399999999999995</v>
      </c>
      <c r="K28" s="14">
        <f>Results_from_model!K28</f>
        <v>1.4039999999999999</v>
      </c>
    </row>
    <row r="29" spans="1:11" x14ac:dyDescent="0.2">
      <c r="A29">
        <f t="shared" si="0"/>
        <v>2031</v>
      </c>
      <c r="C29" s="14">
        <f>Results_from_model!C29</f>
        <v>0.76400000000000001</v>
      </c>
      <c r="D29" s="14">
        <f>Results_from_model!D29</f>
        <v>-0.123</v>
      </c>
      <c r="E29" s="14">
        <f>Results_from_model!E29</f>
        <v>0.73399999999999999</v>
      </c>
      <c r="F29" s="14">
        <f>Results_from_model!F29</f>
        <v>0.76400000000000001</v>
      </c>
      <c r="G29" s="14">
        <f>Results_from_model!G29</f>
        <v>-0.22</v>
      </c>
      <c r="H29" s="14">
        <f>Results_from_model!H29</f>
        <v>0.65100000000000002</v>
      </c>
      <c r="I29" s="14">
        <f>Results_from_model!I29</f>
        <v>0.40300000000000002</v>
      </c>
      <c r="J29" s="14">
        <f>Results_from_model!J29</f>
        <v>-0.51400000000000001</v>
      </c>
      <c r="K29" s="14">
        <f>Results_from_model!K29</f>
        <v>1.4570000000000001</v>
      </c>
    </row>
    <row r="30" spans="1:11" x14ac:dyDescent="0.2">
      <c r="A30">
        <f t="shared" si="0"/>
        <v>2031.25</v>
      </c>
      <c r="C30" s="14">
        <f>Results_from_model!C30</f>
        <v>0.79800000000000004</v>
      </c>
      <c r="D30" s="14">
        <f>Results_from_model!D30</f>
        <v>-9.6000000000000002E-2</v>
      </c>
      <c r="E30" s="14">
        <f>Results_from_model!E30</f>
        <v>0.79600000000000004</v>
      </c>
      <c r="F30" s="14">
        <f>Results_from_model!F30</f>
        <v>0.80400000000000005</v>
      </c>
      <c r="G30" s="14">
        <f>Results_from_model!G30</f>
        <v>-0.19400000000000001</v>
      </c>
      <c r="H30" s="14">
        <f>Results_from_model!H30</f>
        <v>0.72099999999999997</v>
      </c>
      <c r="I30" s="14">
        <f>Results_from_model!I30</f>
        <v>0.45600000000000002</v>
      </c>
      <c r="J30" s="14">
        <f>Results_from_model!J30</f>
        <v>-0.45</v>
      </c>
      <c r="K30" s="14">
        <f>Results_from_model!K30</f>
        <v>1.508</v>
      </c>
    </row>
    <row r="31" spans="1:11" x14ac:dyDescent="0.2">
      <c r="A31">
        <f t="shared" si="0"/>
        <v>2031.5</v>
      </c>
      <c r="C31" s="14">
        <f>Results_from_model!C31</f>
        <v>0.83199999999999996</v>
      </c>
      <c r="D31" s="14">
        <f>Results_from_model!D31</f>
        <v>-6.7000000000000004E-2</v>
      </c>
      <c r="E31" s="14">
        <f>Results_from_model!E31</f>
        <v>0.85799999999999998</v>
      </c>
      <c r="F31" s="14">
        <f>Results_from_model!F31</f>
        <v>0.84299999999999997</v>
      </c>
      <c r="G31" s="14">
        <f>Results_from_model!G31</f>
        <v>-0.16600000000000001</v>
      </c>
      <c r="H31" s="14">
        <f>Results_from_model!H31</f>
        <v>0.78900000000000003</v>
      </c>
      <c r="I31" s="14">
        <f>Results_from_model!I31</f>
        <v>0.50800000000000001</v>
      </c>
      <c r="J31" s="14">
        <f>Results_from_model!J31</f>
        <v>-0.38300000000000001</v>
      </c>
      <c r="K31" s="14">
        <f>Results_from_model!K31</f>
        <v>1.5549999999999999</v>
      </c>
    </row>
    <row r="32" spans="1:11" x14ac:dyDescent="0.2">
      <c r="A32">
        <f t="shared" si="0"/>
        <v>2031.75</v>
      </c>
      <c r="C32" s="14">
        <f>Results_from_model!C32</f>
        <v>0.86499999999999999</v>
      </c>
      <c r="D32" s="14">
        <f>Results_from_model!D32</f>
        <v>-3.5999999999999997E-2</v>
      </c>
      <c r="E32" s="14">
        <f>Results_from_model!E32</f>
        <v>0.91800000000000004</v>
      </c>
      <c r="F32" s="14">
        <f>Results_from_model!F32</f>
        <v>0.88200000000000001</v>
      </c>
      <c r="G32" s="14">
        <f>Results_from_model!G32</f>
        <v>-0.13600000000000001</v>
      </c>
      <c r="H32" s="14">
        <f>Results_from_model!H32</f>
        <v>0.85799999999999998</v>
      </c>
      <c r="I32" s="14">
        <f>Results_from_model!I32</f>
        <v>0.56100000000000005</v>
      </c>
      <c r="J32" s="14">
        <f>Results_from_model!J32</f>
        <v>-0.313</v>
      </c>
      <c r="K32" s="14">
        <f>Results_from_model!K32</f>
        <v>1.599</v>
      </c>
    </row>
    <row r="33" spans="1:30" x14ac:dyDescent="0.2">
      <c r="A33">
        <f t="shared" si="0"/>
        <v>2032</v>
      </c>
      <c r="C33" s="14">
        <f>Results_from_model!C33</f>
        <v>0.89700000000000002</v>
      </c>
      <c r="D33" s="14">
        <f>Results_from_model!D33</f>
        <v>-5.0000000000000001E-3</v>
      </c>
      <c r="E33" s="14">
        <f>Results_from_model!E33</f>
        <v>0.97799999999999998</v>
      </c>
      <c r="F33" s="14">
        <f>Results_from_model!F33</f>
        <v>0.92100000000000004</v>
      </c>
      <c r="G33" s="14">
        <f>Results_from_model!G33</f>
        <v>-0.104</v>
      </c>
      <c r="H33" s="14">
        <f>Results_from_model!H33</f>
        <v>0.92600000000000005</v>
      </c>
      <c r="I33" s="14">
        <f>Results_from_model!I33</f>
        <v>0.61299999999999999</v>
      </c>
      <c r="J33" s="14">
        <f>Results_from_model!J33</f>
        <v>-0.23899999999999999</v>
      </c>
      <c r="K33" s="14">
        <f>Results_from_model!K33</f>
        <v>1.6379999999999999</v>
      </c>
    </row>
    <row r="34" spans="1:30" x14ac:dyDescent="0.2">
      <c r="A34">
        <f t="shared" si="0"/>
        <v>2032.25</v>
      </c>
      <c r="C34" s="14">
        <f>Results_from_model!C34</f>
        <v>0.92800000000000005</v>
      </c>
      <c r="D34" s="14">
        <f>Results_from_model!D34</f>
        <v>2.9000000000000001E-2</v>
      </c>
      <c r="E34" s="14">
        <f>Results_from_model!E34</f>
        <v>1.036</v>
      </c>
      <c r="F34" s="14">
        <f>Results_from_model!F34</f>
        <v>0.96</v>
      </c>
      <c r="G34" s="14">
        <f>Results_from_model!G34</f>
        <v>-7.0000000000000007E-2</v>
      </c>
      <c r="H34" s="14">
        <f>Results_from_model!H34</f>
        <v>0.99399999999999999</v>
      </c>
      <c r="I34" s="14">
        <f>Results_from_model!I34</f>
        <v>0.66600000000000004</v>
      </c>
      <c r="J34" s="14">
        <f>Results_from_model!J34</f>
        <v>-0.16300000000000001</v>
      </c>
      <c r="K34" s="14">
        <f>Results_from_model!K34</f>
        <v>1.675</v>
      </c>
    </row>
    <row r="35" spans="1:30" ht="22.5" x14ac:dyDescent="0.35">
      <c r="A35">
        <f t="shared" si="0"/>
        <v>2032.5</v>
      </c>
      <c r="C35" s="14">
        <f>Results_from_model!C35</f>
        <v>0.95899999999999996</v>
      </c>
      <c r="D35" s="14">
        <f>Results_from_model!D35</f>
        <v>6.3E-2</v>
      </c>
      <c r="E35" s="14">
        <f>Results_from_model!E35</f>
        <v>1.093</v>
      </c>
      <c r="F35" s="14">
        <f>Results_from_model!F35</f>
        <v>0.998</v>
      </c>
      <c r="G35" s="14">
        <f>Results_from_model!G35</f>
        <v>-3.4000000000000002E-2</v>
      </c>
      <c r="H35" s="14">
        <f>Results_from_model!H35</f>
        <v>1.0609999999999999</v>
      </c>
      <c r="I35" s="14">
        <f>Results_from_model!I35</f>
        <v>0.71899999999999997</v>
      </c>
      <c r="J35" s="14">
        <f>Results_from_model!J35</f>
        <v>-8.4000000000000005E-2</v>
      </c>
      <c r="K35" s="14">
        <f>Results_from_model!K35</f>
        <v>1.708</v>
      </c>
      <c r="AD35" s="28" t="s">
        <v>134</v>
      </c>
    </row>
    <row r="36" spans="1:30" x14ac:dyDescent="0.2">
      <c r="A36">
        <f t="shared" si="0"/>
        <v>2032.75</v>
      </c>
      <c r="C36" s="14">
        <f>Results_from_model!C36</f>
        <v>0.99</v>
      </c>
      <c r="D36" s="14">
        <f>Results_from_model!D36</f>
        <v>9.9000000000000005E-2</v>
      </c>
      <c r="E36" s="14">
        <f>Results_from_model!E36</f>
        <v>1.149</v>
      </c>
      <c r="F36" s="14">
        <f>Results_from_model!F36</f>
        <v>1.0349999999999999</v>
      </c>
      <c r="G36" s="14">
        <f>Results_from_model!G36</f>
        <v>3.0000000000000001E-3</v>
      </c>
      <c r="H36" s="14">
        <f>Results_from_model!H36</f>
        <v>1.127</v>
      </c>
      <c r="I36" s="14">
        <f>Results_from_model!I36</f>
        <v>0.77100000000000002</v>
      </c>
      <c r="J36" s="14">
        <f>Results_from_model!J36</f>
        <v>-1E-3</v>
      </c>
      <c r="K36" s="14">
        <f>Results_from_model!K36</f>
        <v>1.7370000000000001</v>
      </c>
      <c r="Y36" s="2"/>
    </row>
    <row r="37" spans="1:30" x14ac:dyDescent="0.2">
      <c r="A37">
        <f t="shared" si="0"/>
        <v>2033</v>
      </c>
      <c r="C37" s="14">
        <f>Results_from_model!C37</f>
        <v>1.0189999999999999</v>
      </c>
      <c r="D37" s="14">
        <f>Results_from_model!D37</f>
        <v>0.13600000000000001</v>
      </c>
      <c r="E37" s="14">
        <f>Results_from_model!E37</f>
        <v>1.2030000000000001</v>
      </c>
      <c r="F37" s="14">
        <f>Results_from_model!F37</f>
        <v>1.073</v>
      </c>
      <c r="G37" s="14">
        <f>Results_from_model!G37</f>
        <v>4.2000000000000003E-2</v>
      </c>
      <c r="H37" s="14">
        <f>Results_from_model!H37</f>
        <v>1.194</v>
      </c>
      <c r="I37" s="14">
        <f>Results_from_model!I37</f>
        <v>0.82399999999999995</v>
      </c>
      <c r="J37" s="14">
        <f>Results_from_model!J37</f>
        <v>8.5000000000000006E-2</v>
      </c>
      <c r="K37" s="14">
        <f>Results_from_model!K37</f>
        <v>1.762</v>
      </c>
      <c r="Y37" s="2"/>
    </row>
    <row r="38" spans="1:30" x14ac:dyDescent="0.2">
      <c r="A38">
        <f t="shared" si="0"/>
        <v>2033.25</v>
      </c>
      <c r="C38" s="14">
        <f>Results_from_model!C38</f>
        <v>1.048</v>
      </c>
      <c r="D38" s="14">
        <f>Results_from_model!D38</f>
        <v>0.17399999999999999</v>
      </c>
      <c r="E38" s="14">
        <f>Results_from_model!E38</f>
        <v>1.2569999999999999</v>
      </c>
      <c r="F38" s="14">
        <f>Results_from_model!F38</f>
        <v>1.1100000000000001</v>
      </c>
      <c r="G38" s="14">
        <f>Results_from_model!G38</f>
        <v>8.3000000000000004E-2</v>
      </c>
      <c r="H38" s="14">
        <f>Results_from_model!H38</f>
        <v>1.26</v>
      </c>
      <c r="I38" s="14">
        <f>Results_from_model!I38</f>
        <v>0.876</v>
      </c>
      <c r="J38" s="14">
        <f>Results_from_model!J38</f>
        <v>0.17499999999999999</v>
      </c>
      <c r="K38" s="14">
        <f>Results_from_model!K38</f>
        <v>1.7809999999999999</v>
      </c>
      <c r="Y38" s="2"/>
    </row>
    <row r="39" spans="1:30" x14ac:dyDescent="0.2">
      <c r="A39">
        <f t="shared" si="0"/>
        <v>2033.5</v>
      </c>
      <c r="C39" s="14">
        <f>Results_from_model!C39</f>
        <v>1.077</v>
      </c>
      <c r="D39" s="14">
        <f>Results_from_model!D39</f>
        <v>0.21299999999999999</v>
      </c>
      <c r="E39" s="14">
        <f>Results_from_model!E39</f>
        <v>1.31</v>
      </c>
      <c r="F39" s="14">
        <f>Results_from_model!F39</f>
        <v>1.1459999999999999</v>
      </c>
      <c r="G39" s="14">
        <f>Results_from_model!G39</f>
        <v>0.125</v>
      </c>
      <c r="H39" s="14">
        <f>Results_from_model!H39</f>
        <v>1.325</v>
      </c>
      <c r="I39" s="14">
        <f>Results_from_model!I39</f>
        <v>0.92800000000000005</v>
      </c>
      <c r="J39" s="14">
        <f>Results_from_model!J39</f>
        <v>0.26800000000000002</v>
      </c>
      <c r="K39" s="14">
        <f>Results_from_model!K39</f>
        <v>1.7969999999999999</v>
      </c>
      <c r="Y39" s="2"/>
    </row>
    <row r="40" spans="1:30" x14ac:dyDescent="0.2">
      <c r="A40">
        <f t="shared" si="0"/>
        <v>2033.75</v>
      </c>
      <c r="C40" s="14">
        <f>Results_from_model!C40</f>
        <v>1.105</v>
      </c>
      <c r="D40" s="14">
        <f>Results_from_model!D40</f>
        <v>0.253</v>
      </c>
      <c r="E40" s="14">
        <f>Results_from_model!E40</f>
        <v>1.361</v>
      </c>
      <c r="F40" s="14">
        <f>Results_from_model!F40</f>
        <v>1.1830000000000001</v>
      </c>
      <c r="G40" s="14">
        <f>Results_from_model!G40</f>
        <v>0.16900000000000001</v>
      </c>
      <c r="H40" s="14">
        <f>Results_from_model!H40</f>
        <v>1.39</v>
      </c>
      <c r="I40" s="14">
        <f>Results_from_model!I40</f>
        <v>0.98</v>
      </c>
      <c r="J40" s="14">
        <f>Results_from_model!J40</f>
        <v>0.36599999999999999</v>
      </c>
      <c r="K40" s="14">
        <f>Results_from_model!K40</f>
        <v>1.806</v>
      </c>
      <c r="Y40" s="2"/>
    </row>
    <row r="41" spans="1:30" x14ac:dyDescent="0.2">
      <c r="A41">
        <f t="shared" si="0"/>
        <v>2034</v>
      </c>
      <c r="C41" s="14">
        <f>Results_from_model!C41</f>
        <v>1.1319999999999999</v>
      </c>
      <c r="D41" s="14">
        <f>Results_from_model!D41</f>
        <v>0.29499999999999998</v>
      </c>
      <c r="E41" s="14">
        <f>Results_from_model!E41</f>
        <v>1.4119999999999999</v>
      </c>
      <c r="F41" s="14">
        <f>Results_from_model!F41</f>
        <v>1.2190000000000001</v>
      </c>
      <c r="G41" s="14">
        <f>Results_from_model!G41</f>
        <v>0.214</v>
      </c>
      <c r="H41" s="14">
        <f>Results_from_model!H41</f>
        <v>1.4550000000000001</v>
      </c>
      <c r="I41" s="14">
        <f>Results_from_model!I41</f>
        <v>1.032</v>
      </c>
      <c r="J41" s="14">
        <f>Results_from_model!J41</f>
        <v>0.46700000000000003</v>
      </c>
      <c r="K41" s="14">
        <f>Results_from_model!K41</f>
        <v>1.8109999999999999</v>
      </c>
      <c r="Y41" s="2"/>
    </row>
    <row r="42" spans="1:30" x14ac:dyDescent="0.2">
      <c r="A42">
        <f t="shared" si="0"/>
        <v>2034.25</v>
      </c>
      <c r="C42" s="14">
        <f>Results_from_model!C42</f>
        <v>1.159</v>
      </c>
      <c r="D42" s="14">
        <f>Results_from_model!D42</f>
        <v>0.33600000000000002</v>
      </c>
      <c r="E42" s="14">
        <f>Results_from_model!E42</f>
        <v>1.4610000000000001</v>
      </c>
      <c r="F42" s="14">
        <f>Results_from_model!F42</f>
        <v>1.2549999999999999</v>
      </c>
      <c r="G42" s="14">
        <f>Results_from_model!G42</f>
        <v>0.26100000000000001</v>
      </c>
      <c r="H42" s="14">
        <f>Results_from_model!H42</f>
        <v>1.52</v>
      </c>
      <c r="I42" s="14">
        <f>Results_from_model!I42</f>
        <v>1.0840000000000001</v>
      </c>
      <c r="J42" s="14">
        <f>Results_from_model!J42</f>
        <v>0.57399999999999995</v>
      </c>
      <c r="K42" s="14">
        <f>Results_from_model!K42</f>
        <v>1.8089999999999999</v>
      </c>
      <c r="Y42" s="2"/>
    </row>
    <row r="43" spans="1:30" x14ac:dyDescent="0.2">
      <c r="A43">
        <f t="shared" si="0"/>
        <v>2034.5</v>
      </c>
      <c r="C43" s="14">
        <f>Results_from_model!C43</f>
        <v>1.1859999999999999</v>
      </c>
      <c r="D43" s="14">
        <f>Results_from_model!D43</f>
        <v>0.379</v>
      </c>
      <c r="E43" s="14">
        <f>Results_from_model!E43</f>
        <v>1.51</v>
      </c>
      <c r="F43" s="14">
        <f>Results_from_model!F43</f>
        <v>1.2909999999999999</v>
      </c>
      <c r="G43" s="14">
        <f>Results_from_model!G43</f>
        <v>0.308</v>
      </c>
      <c r="H43" s="14">
        <f>Results_from_model!H43</f>
        <v>1.5840000000000001</v>
      </c>
      <c r="I43" s="14">
        <f>Results_from_model!I43</f>
        <v>1.135</v>
      </c>
      <c r="J43" s="14">
        <f>Results_from_model!J43</f>
        <v>0.68600000000000005</v>
      </c>
      <c r="K43" s="14">
        <f>Results_from_model!K43</f>
        <v>1.7989999999999999</v>
      </c>
      <c r="T43" s="20" t="s">
        <v>10</v>
      </c>
      <c r="U43" s="20" t="s">
        <v>11</v>
      </c>
      <c r="V43" s="20" t="s">
        <v>12</v>
      </c>
      <c r="Y43" s="2"/>
    </row>
    <row r="44" spans="1:30" x14ac:dyDescent="0.2">
      <c r="A44">
        <f t="shared" si="0"/>
        <v>2034.75</v>
      </c>
      <c r="C44" s="14">
        <f>Results_from_model!C44</f>
        <v>1.2110000000000001</v>
      </c>
      <c r="D44" s="14">
        <f>Results_from_model!D44</f>
        <v>0.42299999999999999</v>
      </c>
      <c r="E44" s="14">
        <f>Results_from_model!E44</f>
        <v>1.5580000000000001</v>
      </c>
      <c r="F44" s="14">
        <f>Results_from_model!F44</f>
        <v>1.3260000000000001</v>
      </c>
      <c r="G44" s="14">
        <f>Results_from_model!G44</f>
        <v>0.35799999999999998</v>
      </c>
      <c r="H44" s="14">
        <f>Results_from_model!H44</f>
        <v>1.6479999999999999</v>
      </c>
      <c r="I44" s="14">
        <f>Results_from_model!I44</f>
        <v>1.1859999999999999</v>
      </c>
      <c r="J44" s="14">
        <f>Results_from_model!J44</f>
        <v>0.80300000000000005</v>
      </c>
      <c r="K44" s="14">
        <f>Results_from_model!K44</f>
        <v>1.784</v>
      </c>
      <c r="T44" s="20">
        <f>F105-C105</f>
        <v>0.47500000000000009</v>
      </c>
      <c r="U44" s="20">
        <f>G105-D105</f>
        <v>0.85599999999999987</v>
      </c>
      <c r="V44" s="20">
        <f>H105-E105</f>
        <v>0.97100000000000053</v>
      </c>
      <c r="Y44" s="2"/>
    </row>
    <row r="45" spans="1:30" x14ac:dyDescent="0.2">
      <c r="A45">
        <f t="shared" si="0"/>
        <v>2035</v>
      </c>
      <c r="C45" s="14">
        <f>Results_from_model!C45</f>
        <v>1.2370000000000001</v>
      </c>
      <c r="D45" s="14">
        <f>Results_from_model!D45</f>
        <v>0.46700000000000003</v>
      </c>
      <c r="E45" s="14">
        <f>Results_from_model!E45</f>
        <v>1.6040000000000001</v>
      </c>
      <c r="F45" s="14">
        <f>Results_from_model!F45</f>
        <v>1.361</v>
      </c>
      <c r="G45" s="14">
        <f>Results_from_model!G45</f>
        <v>0.40799999999999997</v>
      </c>
      <c r="H45" s="14">
        <f>Results_from_model!H45</f>
        <v>1.712</v>
      </c>
      <c r="I45" s="14">
        <f>Results_from_model!I45</f>
        <v>1.238</v>
      </c>
      <c r="J45" s="14">
        <f>Results_from_model!J45</f>
        <v>0.92600000000000005</v>
      </c>
      <c r="K45" s="14">
        <f>Results_from_model!K45</f>
        <v>1.7609999999999999</v>
      </c>
      <c r="Y45" s="2"/>
    </row>
    <row r="46" spans="1:30" x14ac:dyDescent="0.2">
      <c r="A46">
        <f t="shared" si="0"/>
        <v>2035.25</v>
      </c>
      <c r="C46" s="14">
        <f>Results_from_model!C46</f>
        <v>1.262</v>
      </c>
      <c r="D46" s="14">
        <f>Results_from_model!D46</f>
        <v>0.51200000000000001</v>
      </c>
      <c r="E46" s="14">
        <f>Results_from_model!E46</f>
        <v>1.65</v>
      </c>
      <c r="F46" s="14">
        <f>Results_from_model!F46</f>
        <v>1.3959999999999999</v>
      </c>
      <c r="G46" s="14">
        <f>Results_from_model!G46</f>
        <v>0.46</v>
      </c>
      <c r="H46" s="14">
        <f>Results_from_model!H46</f>
        <v>1.7749999999999999</v>
      </c>
      <c r="I46" s="14">
        <f>Results_from_model!I46</f>
        <v>1.288</v>
      </c>
      <c r="J46" s="14">
        <f>Results_from_model!J46</f>
        <v>1.056</v>
      </c>
      <c r="K46" s="14">
        <f>Results_from_model!K46</f>
        <v>1.732</v>
      </c>
      <c r="Y46" s="2"/>
    </row>
    <row r="47" spans="1:30" x14ac:dyDescent="0.2">
      <c r="A47">
        <f t="shared" si="0"/>
        <v>2035.5</v>
      </c>
      <c r="C47" s="14">
        <f>Results_from_model!C47</f>
        <v>1.286</v>
      </c>
      <c r="D47" s="14">
        <f>Results_from_model!D47</f>
        <v>0.55700000000000005</v>
      </c>
      <c r="E47" s="14">
        <f>Results_from_model!E47</f>
        <v>1.6950000000000001</v>
      </c>
      <c r="F47" s="14">
        <f>Results_from_model!F47</f>
        <v>1.431</v>
      </c>
      <c r="G47" s="14">
        <f>Results_from_model!G47</f>
        <v>0.51300000000000001</v>
      </c>
      <c r="H47" s="14">
        <f>Results_from_model!H47</f>
        <v>1.839</v>
      </c>
      <c r="I47" s="14">
        <f>Results_from_model!I47</f>
        <v>1.339</v>
      </c>
      <c r="J47" s="14">
        <f>Results_from_model!J47</f>
        <v>1.1839999999999999</v>
      </c>
      <c r="K47" s="14">
        <f>Results_from_model!K47</f>
        <v>1.7030000000000001</v>
      </c>
      <c r="Y47" s="2"/>
    </row>
    <row r="48" spans="1:30" x14ac:dyDescent="0.2">
      <c r="A48">
        <f t="shared" si="0"/>
        <v>2035.75</v>
      </c>
      <c r="C48" s="14">
        <f>Results_from_model!C48</f>
        <v>1.31</v>
      </c>
      <c r="D48" s="14">
        <f>Results_from_model!D48</f>
        <v>0.60299999999999998</v>
      </c>
      <c r="E48" s="14">
        <f>Results_from_model!E48</f>
        <v>1.7390000000000001</v>
      </c>
      <c r="F48" s="14">
        <f>Results_from_model!F48</f>
        <v>1.464</v>
      </c>
      <c r="G48" s="14">
        <f>Results_from_model!G48</f>
        <v>0.56699999999999995</v>
      </c>
      <c r="H48" s="14">
        <f>Results_from_model!H48</f>
        <v>1.9019999999999999</v>
      </c>
      <c r="I48" s="14">
        <f>Results_from_model!I48</f>
        <v>1.39</v>
      </c>
      <c r="J48" s="14">
        <f>Results_from_model!J48</f>
        <v>1.3109999999999999</v>
      </c>
      <c r="K48" s="14">
        <f>Results_from_model!K48</f>
        <v>1.6739999999999999</v>
      </c>
      <c r="Y48" s="2"/>
    </row>
    <row r="49" spans="1:41" x14ac:dyDescent="0.2">
      <c r="A49">
        <f t="shared" si="0"/>
        <v>2036</v>
      </c>
      <c r="C49" s="14">
        <f>Results_from_model!C49</f>
        <v>1.3340000000000001</v>
      </c>
      <c r="D49" s="14">
        <f>Results_from_model!D49</f>
        <v>0.65</v>
      </c>
      <c r="E49" s="14">
        <f>Results_from_model!E49</f>
        <v>1.782</v>
      </c>
      <c r="F49" s="14">
        <f>Results_from_model!F49</f>
        <v>1.4970000000000001</v>
      </c>
      <c r="G49" s="14">
        <f>Results_from_model!G49</f>
        <v>0.623</v>
      </c>
      <c r="H49" s="14">
        <f>Results_from_model!H49</f>
        <v>1.9650000000000001</v>
      </c>
      <c r="I49" s="14">
        <f>Results_from_model!I49</f>
        <v>1.44</v>
      </c>
      <c r="J49" s="14">
        <f>Results_from_model!J49</f>
        <v>1.4350000000000001</v>
      </c>
      <c r="K49" s="14">
        <f>Results_from_model!K49</f>
        <v>1.647</v>
      </c>
      <c r="Y49" s="2"/>
    </row>
    <row r="50" spans="1:41" x14ac:dyDescent="0.2">
      <c r="A50">
        <f t="shared" si="0"/>
        <v>2036.25</v>
      </c>
      <c r="C50" s="14">
        <f>Results_from_model!C50</f>
        <v>1.357</v>
      </c>
      <c r="D50" s="14">
        <f>Results_from_model!D50</f>
        <v>0.69699999999999995</v>
      </c>
      <c r="E50" s="14">
        <f>Results_from_model!E50</f>
        <v>1.8240000000000001</v>
      </c>
      <c r="F50" s="14">
        <f>Results_from_model!F50</f>
        <v>1.53</v>
      </c>
      <c r="G50" s="14">
        <f>Results_from_model!G50</f>
        <v>0.67900000000000005</v>
      </c>
      <c r="H50" s="14">
        <f>Results_from_model!H50</f>
        <v>2.028</v>
      </c>
      <c r="I50" s="14">
        <f>Results_from_model!I50</f>
        <v>1.49</v>
      </c>
      <c r="J50" s="14">
        <f>Results_from_model!J50</f>
        <v>1.5569999999999999</v>
      </c>
      <c r="K50" s="14">
        <f>Results_from_model!K50</f>
        <v>1.621</v>
      </c>
      <c r="Y50" s="2"/>
    </row>
    <row r="51" spans="1:41" x14ac:dyDescent="0.2">
      <c r="A51">
        <f t="shared" si="0"/>
        <v>2036.5</v>
      </c>
      <c r="C51" s="14">
        <f>Results_from_model!C51</f>
        <v>1.38</v>
      </c>
      <c r="D51" s="14">
        <f>Results_from_model!D51</f>
        <v>0.74399999999999999</v>
      </c>
      <c r="E51" s="14">
        <f>Results_from_model!E51</f>
        <v>1.865</v>
      </c>
      <c r="F51" s="14">
        <f>Results_from_model!F51</f>
        <v>1.5620000000000001</v>
      </c>
      <c r="G51" s="14">
        <f>Results_from_model!G51</f>
        <v>0.73699999999999999</v>
      </c>
      <c r="H51" s="14">
        <f>Results_from_model!H51</f>
        <v>2.09</v>
      </c>
      <c r="I51" s="14">
        <f>Results_from_model!I51</f>
        <v>1.5389999999999999</v>
      </c>
      <c r="J51" s="14">
        <f>Results_from_model!J51</f>
        <v>1.6759999999999999</v>
      </c>
      <c r="K51" s="14">
        <f>Results_from_model!K51</f>
        <v>1.5960000000000001</v>
      </c>
      <c r="Y51" s="2"/>
    </row>
    <row r="52" spans="1:41" x14ac:dyDescent="0.2">
      <c r="A52">
        <f t="shared" si="0"/>
        <v>2036.75</v>
      </c>
      <c r="C52" s="14">
        <f>Results_from_model!C52</f>
        <v>1.4019999999999999</v>
      </c>
      <c r="D52" s="14">
        <f>Results_from_model!D52</f>
        <v>0.79200000000000004</v>
      </c>
      <c r="E52" s="14">
        <f>Results_from_model!E52</f>
        <v>1.9059999999999999</v>
      </c>
      <c r="F52" s="14">
        <f>Results_from_model!F52</f>
        <v>1.593</v>
      </c>
      <c r="G52" s="14">
        <f>Results_from_model!G52</f>
        <v>0.79500000000000004</v>
      </c>
      <c r="H52" s="14">
        <f>Results_from_model!H52</f>
        <v>2.1509999999999998</v>
      </c>
      <c r="I52" s="14">
        <f>Results_from_model!I52</f>
        <v>1.589</v>
      </c>
      <c r="J52" s="14">
        <f>Results_from_model!J52</f>
        <v>1.7929999999999999</v>
      </c>
      <c r="K52" s="14">
        <f>Results_from_model!K52</f>
        <v>1.5720000000000001</v>
      </c>
      <c r="Y52" s="2"/>
    </row>
    <row r="53" spans="1:41" x14ac:dyDescent="0.2">
      <c r="A53">
        <f t="shared" si="0"/>
        <v>2037</v>
      </c>
      <c r="C53" s="14">
        <f>Results_from_model!C53</f>
        <v>1.4239999999999999</v>
      </c>
      <c r="D53" s="14">
        <f>Results_from_model!D53</f>
        <v>0.84</v>
      </c>
      <c r="E53" s="14">
        <f>Results_from_model!E53</f>
        <v>1.946</v>
      </c>
      <c r="F53" s="14">
        <f>Results_from_model!F53</f>
        <v>1.623</v>
      </c>
      <c r="G53" s="14">
        <f>Results_from_model!G53</f>
        <v>0.85399999999999998</v>
      </c>
      <c r="H53" s="14">
        <f>Results_from_model!H53</f>
        <v>2.2120000000000002</v>
      </c>
      <c r="I53" s="14">
        <f>Results_from_model!I53</f>
        <v>1.6379999999999999</v>
      </c>
      <c r="J53" s="14">
        <f>Results_from_model!J53</f>
        <v>1.9079999999999999</v>
      </c>
      <c r="K53" s="14">
        <f>Results_from_model!K53</f>
        <v>1.55</v>
      </c>
      <c r="Y53" s="2"/>
    </row>
    <row r="54" spans="1:41" x14ac:dyDescent="0.2">
      <c r="A54">
        <f t="shared" si="0"/>
        <v>2037.25</v>
      </c>
      <c r="C54" s="14">
        <f>Results_from_model!C54</f>
        <v>1.4450000000000001</v>
      </c>
      <c r="D54" s="14">
        <f>Results_from_model!D54</f>
        <v>0.88900000000000001</v>
      </c>
      <c r="E54" s="14">
        <f>Results_from_model!E54</f>
        <v>1.9850000000000001</v>
      </c>
      <c r="F54" s="14">
        <f>Results_from_model!F54</f>
        <v>1.653</v>
      </c>
      <c r="G54" s="14">
        <f>Results_from_model!G54</f>
        <v>0.91500000000000004</v>
      </c>
      <c r="H54" s="14">
        <f>Results_from_model!H54</f>
        <v>2.2709999999999999</v>
      </c>
      <c r="I54" s="14">
        <f>Results_from_model!I54</f>
        <v>1.6859999999999999</v>
      </c>
      <c r="J54" s="14">
        <f>Results_from_model!J54</f>
        <v>2.0209999999999999</v>
      </c>
      <c r="K54" s="14">
        <f>Results_from_model!K54</f>
        <v>1.528</v>
      </c>
      <c r="Y54" s="2"/>
    </row>
    <row r="55" spans="1:41" x14ac:dyDescent="0.2">
      <c r="A55">
        <f t="shared" si="0"/>
        <v>2037.5</v>
      </c>
      <c r="C55" s="14">
        <f>Results_from_model!C55</f>
        <v>1.466</v>
      </c>
      <c r="D55" s="14">
        <f>Results_from_model!D55</f>
        <v>0.93700000000000006</v>
      </c>
      <c r="E55" s="14">
        <f>Results_from_model!E55</f>
        <v>2.0230000000000001</v>
      </c>
      <c r="F55" s="14">
        <f>Results_from_model!F55</f>
        <v>1.6830000000000001</v>
      </c>
      <c r="G55" s="14">
        <f>Results_from_model!G55</f>
        <v>0.97499999999999998</v>
      </c>
      <c r="H55" s="14">
        <f>Results_from_model!H55</f>
        <v>2.33</v>
      </c>
      <c r="I55" s="14">
        <f>Results_from_model!I55</f>
        <v>1.7350000000000001</v>
      </c>
      <c r="J55" s="14">
        <f>Results_from_model!J55</f>
        <v>2.1320000000000001</v>
      </c>
      <c r="K55" s="14">
        <f>Results_from_model!K55</f>
        <v>1.508</v>
      </c>
      <c r="Y55" s="2"/>
    </row>
    <row r="56" spans="1:41" ht="15.75" x14ac:dyDescent="0.2">
      <c r="A56">
        <f t="shared" si="0"/>
        <v>2037.75</v>
      </c>
      <c r="C56" s="14">
        <f>Results_from_model!C56</f>
        <v>1.4870000000000001</v>
      </c>
      <c r="D56" s="14">
        <f>Results_from_model!D56</f>
        <v>0.98699999999999999</v>
      </c>
      <c r="E56" s="14">
        <f>Results_from_model!E56</f>
        <v>2.06</v>
      </c>
      <c r="F56" s="14">
        <f>Results_from_model!F56</f>
        <v>1.7110000000000001</v>
      </c>
      <c r="G56" s="14">
        <f>Results_from_model!G56</f>
        <v>1.0369999999999999</v>
      </c>
      <c r="H56" s="14">
        <f>Results_from_model!H56</f>
        <v>2.387</v>
      </c>
      <c r="I56" s="14">
        <f>Results_from_model!I56</f>
        <v>1.7829999999999999</v>
      </c>
      <c r="J56" s="14">
        <f>Results_from_model!J56</f>
        <v>2.2400000000000002</v>
      </c>
      <c r="K56" s="14">
        <f>Results_from_model!K56</f>
        <v>1.4890000000000001</v>
      </c>
      <c r="Y56" s="2"/>
      <c r="AO56" s="9"/>
    </row>
    <row r="57" spans="1:41" x14ac:dyDescent="0.2">
      <c r="A57">
        <f t="shared" si="0"/>
        <v>2038</v>
      </c>
      <c r="C57" s="14">
        <f>Results_from_model!C57</f>
        <v>1.5069999999999999</v>
      </c>
      <c r="D57" s="14">
        <f>Results_from_model!D57</f>
        <v>1.036</v>
      </c>
      <c r="E57" s="14">
        <f>Results_from_model!E57</f>
        <v>2.097</v>
      </c>
      <c r="F57" s="14">
        <f>Results_from_model!F57</f>
        <v>1.74</v>
      </c>
      <c r="G57" s="14">
        <f>Results_from_model!G57</f>
        <v>1.099</v>
      </c>
      <c r="H57" s="14">
        <f>Results_from_model!H57</f>
        <v>2.444</v>
      </c>
      <c r="I57" s="14">
        <f>Results_from_model!I57</f>
        <v>1.831</v>
      </c>
      <c r="J57" s="14">
        <f>Results_from_model!J57</f>
        <v>2.3460000000000001</v>
      </c>
      <c r="K57" s="14">
        <f>Results_from_model!K57</f>
        <v>1.47</v>
      </c>
      <c r="Y57" s="2"/>
    </row>
    <row r="58" spans="1:41" x14ac:dyDescent="0.2">
      <c r="A58">
        <f t="shared" si="0"/>
        <v>2038.25</v>
      </c>
      <c r="C58" s="14">
        <f>Results_from_model!C58</f>
        <v>1.5269999999999999</v>
      </c>
      <c r="D58" s="14">
        <f>Results_from_model!D58</f>
        <v>1.085</v>
      </c>
      <c r="E58" s="14">
        <f>Results_from_model!E58</f>
        <v>2.133</v>
      </c>
      <c r="F58" s="14">
        <f>Results_from_model!F58</f>
        <v>1.7669999999999999</v>
      </c>
      <c r="G58" s="14">
        <f>Results_from_model!G58</f>
        <v>1.1619999999999999</v>
      </c>
      <c r="H58" s="14">
        <f>Results_from_model!H58</f>
        <v>2.5</v>
      </c>
      <c r="I58" s="14">
        <f>Results_from_model!I58</f>
        <v>1.879</v>
      </c>
      <c r="J58" s="14">
        <f>Results_from_model!J58</f>
        <v>2.4510000000000001</v>
      </c>
      <c r="K58" s="14">
        <f>Results_from_model!K58</f>
        <v>1.4530000000000001</v>
      </c>
      <c r="Y58" s="2"/>
    </row>
    <row r="59" spans="1:41" x14ac:dyDescent="0.2">
      <c r="A59">
        <f t="shared" si="0"/>
        <v>2038.5</v>
      </c>
      <c r="C59" s="14">
        <f>Results_from_model!C59</f>
        <v>1.5469999999999999</v>
      </c>
      <c r="D59" s="14">
        <f>Results_from_model!D59</f>
        <v>1.135</v>
      </c>
      <c r="E59" s="14">
        <f>Results_from_model!E59</f>
        <v>2.1680000000000001</v>
      </c>
      <c r="F59" s="14">
        <f>Results_from_model!F59</f>
        <v>1.7949999999999999</v>
      </c>
      <c r="G59" s="14">
        <f>Results_from_model!G59</f>
        <v>1.2250000000000001</v>
      </c>
      <c r="H59" s="14">
        <f>Results_from_model!H59</f>
        <v>2.5539999999999998</v>
      </c>
      <c r="I59" s="14">
        <f>Results_from_model!I59</f>
        <v>1.9259999999999999</v>
      </c>
      <c r="J59" s="14">
        <f>Results_from_model!J59</f>
        <v>2.5529999999999999</v>
      </c>
      <c r="K59" s="14">
        <f>Results_from_model!K59</f>
        <v>1.4359999999999999</v>
      </c>
      <c r="Y59" s="2"/>
    </row>
    <row r="60" spans="1:41" x14ac:dyDescent="0.2">
      <c r="A60">
        <f t="shared" si="0"/>
        <v>2038.75</v>
      </c>
      <c r="C60" s="14">
        <f>Results_from_model!C60</f>
        <v>1.5660000000000001</v>
      </c>
      <c r="D60" s="14">
        <f>Results_from_model!D60</f>
        <v>1.1850000000000001</v>
      </c>
      <c r="E60" s="14">
        <f>Results_from_model!E60</f>
        <v>2.2029999999999998</v>
      </c>
      <c r="F60" s="14">
        <f>Results_from_model!F60</f>
        <v>1.821</v>
      </c>
      <c r="G60" s="14">
        <f>Results_from_model!G60</f>
        <v>1.2889999999999999</v>
      </c>
      <c r="H60" s="14">
        <f>Results_from_model!H60</f>
        <v>2.6080000000000001</v>
      </c>
      <c r="I60" s="14">
        <f>Results_from_model!I60</f>
        <v>1.9730000000000001</v>
      </c>
      <c r="J60" s="14">
        <f>Results_from_model!J60</f>
        <v>2.6539999999999999</v>
      </c>
      <c r="K60" s="14">
        <f>Results_from_model!K60</f>
        <v>1.42</v>
      </c>
      <c r="Y60" s="2"/>
    </row>
    <row r="61" spans="1:41" x14ac:dyDescent="0.2">
      <c r="A61">
        <f t="shared" si="0"/>
        <v>2039</v>
      </c>
      <c r="C61" s="14">
        <f>Results_from_model!C61</f>
        <v>1.585</v>
      </c>
      <c r="D61" s="14">
        <f>Results_from_model!D61</f>
        <v>1.2350000000000001</v>
      </c>
      <c r="E61" s="14">
        <f>Results_from_model!E61</f>
        <v>2.2360000000000002</v>
      </c>
      <c r="F61" s="14">
        <f>Results_from_model!F61</f>
        <v>1.8480000000000001</v>
      </c>
      <c r="G61" s="14">
        <f>Results_from_model!G61</f>
        <v>1.353</v>
      </c>
      <c r="H61" s="14">
        <f>Results_from_model!H61</f>
        <v>2.661</v>
      </c>
      <c r="I61" s="14">
        <f>Results_from_model!I61</f>
        <v>2.0190000000000001</v>
      </c>
      <c r="J61" s="14">
        <f>Results_from_model!J61</f>
        <v>2.7530000000000001</v>
      </c>
      <c r="K61" s="14">
        <f>Results_from_model!K61</f>
        <v>1.4059999999999999</v>
      </c>
      <c r="Y61" s="2"/>
    </row>
    <row r="62" spans="1:41" x14ac:dyDescent="0.2">
      <c r="A62">
        <f t="shared" si="0"/>
        <v>2039.25</v>
      </c>
      <c r="C62" s="14">
        <f>Results_from_model!C62</f>
        <v>1.6040000000000001</v>
      </c>
      <c r="D62" s="14">
        <f>Results_from_model!D62</f>
        <v>1.2849999999999999</v>
      </c>
      <c r="E62" s="14">
        <f>Results_from_model!E62</f>
        <v>2.27</v>
      </c>
      <c r="F62" s="14">
        <f>Results_from_model!F62</f>
        <v>1.873</v>
      </c>
      <c r="G62" s="14">
        <f>Results_from_model!G62</f>
        <v>1.4179999999999999</v>
      </c>
      <c r="H62" s="14">
        <f>Results_from_model!H62</f>
        <v>2.7120000000000002</v>
      </c>
      <c r="I62" s="14">
        <f>Results_from_model!I62</f>
        <v>2.0659999999999998</v>
      </c>
      <c r="J62" s="14">
        <f>Results_from_model!J62</f>
        <v>2.85</v>
      </c>
      <c r="K62" s="14">
        <f>Results_from_model!K62</f>
        <v>1.391</v>
      </c>
      <c r="Y62" s="2"/>
    </row>
    <row r="63" spans="1:41" x14ac:dyDescent="0.2">
      <c r="A63">
        <f t="shared" si="0"/>
        <v>2039.5</v>
      </c>
      <c r="C63" s="14">
        <f>Results_from_model!C63</f>
        <v>1.6220000000000001</v>
      </c>
      <c r="D63" s="14">
        <f>Results_from_model!D63</f>
        <v>1.335</v>
      </c>
      <c r="E63" s="14">
        <f>Results_from_model!E63</f>
        <v>2.302</v>
      </c>
      <c r="F63" s="14">
        <f>Results_from_model!F63</f>
        <v>1.8979999999999999</v>
      </c>
      <c r="G63" s="14">
        <f>Results_from_model!G63</f>
        <v>1.4830000000000001</v>
      </c>
      <c r="H63" s="14">
        <f>Results_from_model!H63</f>
        <v>2.7629999999999999</v>
      </c>
      <c r="I63" s="14">
        <f>Results_from_model!I63</f>
        <v>2.1110000000000002</v>
      </c>
      <c r="J63" s="14">
        <f>Results_from_model!J63</f>
        <v>2.9449999999999998</v>
      </c>
      <c r="K63" s="14">
        <f>Results_from_model!K63</f>
        <v>1.3779999999999999</v>
      </c>
    </row>
    <row r="64" spans="1:41" x14ac:dyDescent="0.2">
      <c r="A64">
        <f t="shared" si="0"/>
        <v>2039.75</v>
      </c>
      <c r="C64" s="14">
        <f>Results_from_model!C64</f>
        <v>1.64</v>
      </c>
      <c r="D64" s="14">
        <f>Results_from_model!D64</f>
        <v>1.385</v>
      </c>
      <c r="E64" s="14">
        <f>Results_from_model!E64</f>
        <v>2.3340000000000001</v>
      </c>
      <c r="F64" s="14">
        <f>Results_from_model!F64</f>
        <v>1.923</v>
      </c>
      <c r="G64" s="14">
        <f>Results_from_model!G64</f>
        <v>1.548</v>
      </c>
      <c r="H64" s="14">
        <f>Results_from_model!H64</f>
        <v>2.8119999999999998</v>
      </c>
      <c r="I64" s="14">
        <f>Results_from_model!I64</f>
        <v>2.157</v>
      </c>
      <c r="J64" s="14">
        <f>Results_from_model!J64</f>
        <v>3.0379999999999998</v>
      </c>
      <c r="K64" s="14">
        <f>Results_from_model!K64</f>
        <v>1.3660000000000001</v>
      </c>
    </row>
    <row r="65" spans="1:49" ht="24" x14ac:dyDescent="0.4">
      <c r="A65">
        <f t="shared" si="0"/>
        <v>2040</v>
      </c>
      <c r="C65" s="14">
        <f>Results_from_model!C65</f>
        <v>1.6579999999999999</v>
      </c>
      <c r="D65" s="14">
        <f>Results_from_model!D65</f>
        <v>1.4350000000000001</v>
      </c>
      <c r="E65" s="14">
        <f>Results_from_model!E65</f>
        <v>2.3650000000000002</v>
      </c>
      <c r="F65" s="14">
        <f>Results_from_model!F65</f>
        <v>1.948</v>
      </c>
      <c r="G65" s="14">
        <f>Results_from_model!G65</f>
        <v>1.6140000000000001</v>
      </c>
      <c r="H65" s="14">
        <f>Results_from_model!H65</f>
        <v>2.8610000000000002</v>
      </c>
      <c r="I65" s="14">
        <f>Results_from_model!I65</f>
        <v>2.202</v>
      </c>
      <c r="J65" s="14">
        <f>Results_from_model!J65</f>
        <v>3.13</v>
      </c>
      <c r="K65" s="14">
        <f>Results_from_model!K65</f>
        <v>1.3540000000000001</v>
      </c>
      <c r="AD65" s="7" t="s">
        <v>136</v>
      </c>
      <c r="AN65" s="7" t="s">
        <v>136</v>
      </c>
    </row>
    <row r="66" spans="1:49" x14ac:dyDescent="0.2">
      <c r="A66">
        <f t="shared" si="0"/>
        <v>2040.25</v>
      </c>
      <c r="C66" s="14">
        <f>Results_from_model!C66</f>
        <v>1.675</v>
      </c>
      <c r="D66" s="14">
        <f>Results_from_model!D66</f>
        <v>1.4850000000000001</v>
      </c>
      <c r="E66" s="14">
        <f>Results_from_model!E66</f>
        <v>2.3959999999999999</v>
      </c>
      <c r="F66" s="14">
        <f>Results_from_model!F66</f>
        <v>1.9710000000000001</v>
      </c>
      <c r="G66" s="14">
        <f>Results_from_model!G66</f>
        <v>1.679</v>
      </c>
      <c r="H66" s="14">
        <f>Results_from_model!H66</f>
        <v>2.9089999999999998</v>
      </c>
      <c r="I66" s="14">
        <f>Results_from_model!I66</f>
        <v>2.2469999999999999</v>
      </c>
      <c r="J66" s="14">
        <f>Results_from_model!J66</f>
        <v>3.22</v>
      </c>
      <c r="K66" s="14">
        <f>Results_from_model!K66</f>
        <v>1.343</v>
      </c>
    </row>
    <row r="67" spans="1:49" x14ac:dyDescent="0.2">
      <c r="A67">
        <f t="shared" si="0"/>
        <v>2040.5</v>
      </c>
      <c r="C67" s="14">
        <f>Results_from_model!C67</f>
        <v>1.6919999999999999</v>
      </c>
      <c r="D67" s="14">
        <f>Results_from_model!D67</f>
        <v>1.5349999999999999</v>
      </c>
      <c r="E67" s="14">
        <f>Results_from_model!E67</f>
        <v>2.4260000000000002</v>
      </c>
      <c r="F67" s="14">
        <f>Results_from_model!F67</f>
        <v>1.9950000000000001</v>
      </c>
      <c r="G67" s="14">
        <f>Results_from_model!G67</f>
        <v>1.7450000000000001</v>
      </c>
      <c r="H67" s="14">
        <f>Results_from_model!H67</f>
        <v>2.956</v>
      </c>
      <c r="I67" s="14">
        <f>Results_from_model!I67</f>
        <v>2.2919999999999998</v>
      </c>
      <c r="J67" s="14">
        <f>Results_from_model!J67</f>
        <v>3.3079999999999998</v>
      </c>
      <c r="K67" s="14">
        <f>Results_from_model!K67</f>
        <v>1.3320000000000001</v>
      </c>
    </row>
    <row r="68" spans="1:49" x14ac:dyDescent="0.2">
      <c r="A68">
        <f t="shared" si="0"/>
        <v>2040.75</v>
      </c>
      <c r="C68" s="14">
        <f>Results_from_model!C68</f>
        <v>1.708</v>
      </c>
      <c r="D68" s="14">
        <f>Results_from_model!D68</f>
        <v>1.5860000000000001</v>
      </c>
      <c r="E68" s="14">
        <f>Results_from_model!E68</f>
        <v>2.4550000000000001</v>
      </c>
      <c r="F68" s="14">
        <f>Results_from_model!F68</f>
        <v>2.0179999999999998</v>
      </c>
      <c r="G68" s="14">
        <f>Results_from_model!G68</f>
        <v>1.8109999999999999</v>
      </c>
      <c r="H68" s="14">
        <f>Results_from_model!H68</f>
        <v>3.0019999999999998</v>
      </c>
      <c r="I68" s="14">
        <f>Results_from_model!I68</f>
        <v>2.3359999999999999</v>
      </c>
      <c r="J68" s="14">
        <f>Results_from_model!J68</f>
        <v>3.395</v>
      </c>
      <c r="K68" s="14">
        <f>Results_from_model!K68</f>
        <v>1.3220000000000001</v>
      </c>
    </row>
    <row r="69" spans="1:49" x14ac:dyDescent="0.2">
      <c r="A69">
        <f t="shared" si="0"/>
        <v>2041</v>
      </c>
      <c r="C69" s="14">
        <f>Results_from_model!C69</f>
        <v>1.7250000000000001</v>
      </c>
      <c r="D69" s="14">
        <f>Results_from_model!D69</f>
        <v>1.6359999999999999</v>
      </c>
      <c r="E69" s="14">
        <f>Results_from_model!E69</f>
        <v>2.484</v>
      </c>
      <c r="F69" s="14">
        <f>Results_from_model!F69</f>
        <v>2.04</v>
      </c>
      <c r="G69" s="14">
        <f>Results_from_model!G69</f>
        <v>1.8779999999999999</v>
      </c>
      <c r="H69" s="14">
        <f>Results_from_model!H69</f>
        <v>3.0459999999999998</v>
      </c>
      <c r="I69" s="14">
        <f>Results_from_model!I69</f>
        <v>2.379</v>
      </c>
      <c r="J69" s="14">
        <f>Results_from_model!J69</f>
        <v>3.48</v>
      </c>
      <c r="K69" s="14">
        <f>Results_from_model!K69</f>
        <v>1.3129999999999999</v>
      </c>
      <c r="U69" s="20"/>
      <c r="V69" s="20"/>
      <c r="W69" s="20" t="s">
        <v>11</v>
      </c>
      <c r="X69" s="20" t="s">
        <v>12</v>
      </c>
      <c r="Y69" s="20" t="s">
        <v>26</v>
      </c>
    </row>
    <row r="70" spans="1:49" x14ac:dyDescent="0.2">
      <c r="A70">
        <f t="shared" si="0"/>
        <v>2041.25</v>
      </c>
      <c r="C70" s="14">
        <f>Results_from_model!C70</f>
        <v>1.7410000000000001</v>
      </c>
      <c r="D70" s="14">
        <f>Results_from_model!D70</f>
        <v>1.6850000000000001</v>
      </c>
      <c r="E70" s="14">
        <f>Results_from_model!E70</f>
        <v>2.512</v>
      </c>
      <c r="F70" s="14">
        <f>Results_from_model!F70</f>
        <v>2.0630000000000002</v>
      </c>
      <c r="G70" s="14">
        <f>Results_from_model!G70</f>
        <v>1.944</v>
      </c>
      <c r="H70" s="14">
        <f>Results_from_model!H70</f>
        <v>3.0910000000000002</v>
      </c>
      <c r="I70" s="14">
        <f>Results_from_model!I70</f>
        <v>2.423</v>
      </c>
      <c r="J70" s="14">
        <f>Results_from_model!J70</f>
        <v>3.5640000000000001</v>
      </c>
      <c r="K70" s="14">
        <f>Results_from_model!K70</f>
        <v>1.304</v>
      </c>
      <c r="U70" s="20">
        <v>2026</v>
      </c>
      <c r="V70" s="20"/>
      <c r="W70" s="20">
        <f t="shared" ref="W70:W94" si="1">VLOOKUP($U70,$A:$I,4,FALSE)</f>
        <v>-0.17499999999999999</v>
      </c>
      <c r="X70" s="20">
        <f t="shared" ref="X70:X94" si="2">VLOOKUP($U70,$A:$I,5,FALSE)</f>
        <v>-0.36899999999999999</v>
      </c>
      <c r="Y70" s="20">
        <f t="shared" ref="Y70:Y94" si="3">VLOOKUP($U70,$A:$I,9,FALSE)</f>
        <v>-0.315</v>
      </c>
    </row>
    <row r="71" spans="1:49" x14ac:dyDescent="0.2">
      <c r="A71">
        <f t="shared" si="0"/>
        <v>2041.5</v>
      </c>
      <c r="C71" s="14">
        <f>Results_from_model!C71</f>
        <v>1.7569999999999999</v>
      </c>
      <c r="D71" s="14">
        <f>Results_from_model!D71</f>
        <v>1.7350000000000001</v>
      </c>
      <c r="E71" s="14">
        <f>Results_from_model!E71</f>
        <v>2.54</v>
      </c>
      <c r="F71" s="14">
        <f>Results_from_model!F71</f>
        <v>2.0840000000000001</v>
      </c>
      <c r="G71" s="14">
        <f>Results_from_model!G71</f>
        <v>2.0099999999999998</v>
      </c>
      <c r="H71" s="14">
        <f>Results_from_model!H71</f>
        <v>3.1339999999999999</v>
      </c>
      <c r="I71" s="14">
        <f>Results_from_model!I71</f>
        <v>2.4660000000000002</v>
      </c>
      <c r="J71" s="14">
        <f>Results_from_model!J71</f>
        <v>3.6459999999999999</v>
      </c>
      <c r="K71" s="14">
        <f>Results_from_model!K71</f>
        <v>1.296</v>
      </c>
      <c r="U71" s="20">
        <v>2027</v>
      </c>
      <c r="V71" s="20"/>
      <c r="W71" s="20">
        <f t="shared" si="1"/>
        <v>-0.25900000000000001</v>
      </c>
      <c r="X71" s="20">
        <f t="shared" si="2"/>
        <v>-0.29799999999999999</v>
      </c>
      <c r="Y71" s="20">
        <f t="shared" si="3"/>
        <v>-0.312</v>
      </c>
    </row>
    <row r="72" spans="1:49" x14ac:dyDescent="0.2">
      <c r="A72">
        <f t="shared" si="0"/>
        <v>2041.75</v>
      </c>
      <c r="C72" s="14">
        <f>Results_from_model!C72</f>
        <v>1.772</v>
      </c>
      <c r="D72" s="14">
        <f>Results_from_model!D72</f>
        <v>1.7849999999999999</v>
      </c>
      <c r="E72" s="14">
        <f>Results_from_model!E72</f>
        <v>2.5670000000000002</v>
      </c>
      <c r="F72" s="14">
        <f>Results_from_model!F72</f>
        <v>2.1059999999999999</v>
      </c>
      <c r="G72" s="14">
        <f>Results_from_model!G72</f>
        <v>2.0760000000000001</v>
      </c>
      <c r="H72" s="14">
        <f>Results_from_model!H72</f>
        <v>3.1760000000000002</v>
      </c>
      <c r="I72" s="14">
        <f>Results_from_model!I72</f>
        <v>2.508</v>
      </c>
      <c r="J72" s="14">
        <f>Results_from_model!J72</f>
        <v>3.7269999999999999</v>
      </c>
      <c r="K72" s="14">
        <f>Results_from_model!K72</f>
        <v>1.288</v>
      </c>
      <c r="U72" s="20">
        <v>2028</v>
      </c>
      <c r="V72" s="20"/>
      <c r="W72" s="20">
        <f t="shared" si="1"/>
        <v>-0.28899999999999998</v>
      </c>
      <c r="X72" s="20">
        <f t="shared" si="2"/>
        <v>-7.1999999999999995E-2</v>
      </c>
      <c r="Y72" s="20">
        <f t="shared" si="3"/>
        <v>-0.184</v>
      </c>
      <c r="AU72" s="20" t="s">
        <v>106</v>
      </c>
      <c r="AV72" s="20" t="s">
        <v>98</v>
      </c>
      <c r="AW72" s="20" t="s">
        <v>99</v>
      </c>
    </row>
    <row r="73" spans="1:49" x14ac:dyDescent="0.2">
      <c r="A73">
        <f t="shared" si="0"/>
        <v>2042</v>
      </c>
      <c r="C73" s="14">
        <f>Results_from_model!C73</f>
        <v>1.788</v>
      </c>
      <c r="D73" s="14">
        <f>Results_from_model!D73</f>
        <v>1.835</v>
      </c>
      <c r="E73" s="14">
        <f>Results_from_model!E73</f>
        <v>2.593</v>
      </c>
      <c r="F73" s="14">
        <f>Results_from_model!F73</f>
        <v>2.1269999999999998</v>
      </c>
      <c r="G73" s="14">
        <f>Results_from_model!G73</f>
        <v>2.1429999999999998</v>
      </c>
      <c r="H73" s="14">
        <f>Results_from_model!H73</f>
        <v>3.218</v>
      </c>
      <c r="I73" s="14">
        <f>Results_from_model!I73</f>
        <v>2.5510000000000002</v>
      </c>
      <c r="J73" s="14">
        <f>Results_from_model!J73</f>
        <v>3.806</v>
      </c>
      <c r="K73" s="14">
        <f>Results_from_model!K73</f>
        <v>1.2809999999999999</v>
      </c>
      <c r="U73" s="20">
        <v>2029</v>
      </c>
      <c r="V73" s="20"/>
      <c r="W73" s="20">
        <f t="shared" si="1"/>
        <v>-0.27200000000000002</v>
      </c>
      <c r="X73" s="20">
        <f t="shared" si="2"/>
        <v>0.19900000000000001</v>
      </c>
      <c r="Y73" s="20">
        <f t="shared" si="3"/>
        <v>-5.0000000000000001E-3</v>
      </c>
      <c r="AU73" s="20">
        <f>K105</f>
        <v>1.2410000000000001</v>
      </c>
      <c r="AV73" s="20">
        <f>I105</f>
        <v>3.6989999999999998</v>
      </c>
      <c r="AW73" s="20">
        <f>J105</f>
        <v>5.694</v>
      </c>
    </row>
    <row r="74" spans="1:49" x14ac:dyDescent="0.2">
      <c r="A74">
        <f t="shared" si="0"/>
        <v>2042.25</v>
      </c>
      <c r="C74" s="14">
        <f>Results_from_model!C74</f>
        <v>1.8029999999999999</v>
      </c>
      <c r="D74" s="14">
        <f>Results_from_model!D74</f>
        <v>1.8839999999999999</v>
      </c>
      <c r="E74" s="14">
        <f>Results_from_model!E74</f>
        <v>2.6190000000000002</v>
      </c>
      <c r="F74" s="14">
        <f>Results_from_model!F74</f>
        <v>2.1469999999999998</v>
      </c>
      <c r="G74" s="14">
        <f>Results_from_model!G74</f>
        <v>2.2090000000000001</v>
      </c>
      <c r="H74" s="14">
        <f>Results_from_model!H74</f>
        <v>3.258</v>
      </c>
      <c r="I74" s="14">
        <f>Results_from_model!I74</f>
        <v>2.593</v>
      </c>
      <c r="J74" s="14">
        <f>Results_from_model!J74</f>
        <v>3.883</v>
      </c>
      <c r="K74" s="14">
        <f>Results_from_model!K74</f>
        <v>1.2749999999999999</v>
      </c>
      <c r="U74" s="20">
        <v>2030</v>
      </c>
      <c r="V74" s="20"/>
      <c r="W74" s="20">
        <f t="shared" si="1"/>
        <v>-0.214</v>
      </c>
      <c r="X74" s="20">
        <f t="shared" si="2"/>
        <v>0.47299999999999998</v>
      </c>
      <c r="Y74" s="20">
        <f t="shared" si="3"/>
        <v>0.19500000000000001</v>
      </c>
    </row>
    <row r="75" spans="1:49" x14ac:dyDescent="0.2">
      <c r="A75">
        <f t="shared" ref="A75:A105" si="4">A74+0.25</f>
        <v>2042.5</v>
      </c>
      <c r="C75" s="14">
        <f>Results_from_model!C75</f>
        <v>1.8169999999999999</v>
      </c>
      <c r="D75" s="14">
        <f>Results_from_model!D75</f>
        <v>1.9330000000000001</v>
      </c>
      <c r="E75" s="14">
        <f>Results_from_model!E75</f>
        <v>2.645</v>
      </c>
      <c r="F75" s="14">
        <f>Results_from_model!F75</f>
        <v>2.1669999999999998</v>
      </c>
      <c r="G75" s="14">
        <f>Results_from_model!G75</f>
        <v>2.2749999999999999</v>
      </c>
      <c r="H75" s="14">
        <f>Results_from_model!H75</f>
        <v>3.298</v>
      </c>
      <c r="I75" s="14">
        <f>Results_from_model!I75</f>
        <v>2.6339999999999999</v>
      </c>
      <c r="J75" s="14">
        <f>Results_from_model!J75</f>
        <v>3.96</v>
      </c>
      <c r="K75" s="14">
        <f>Results_from_model!K75</f>
        <v>1.2689999999999999</v>
      </c>
      <c r="U75" s="20">
        <v>2031</v>
      </c>
      <c r="V75" s="20"/>
      <c r="W75" s="20">
        <f t="shared" si="1"/>
        <v>-0.123</v>
      </c>
      <c r="X75" s="20">
        <f t="shared" si="2"/>
        <v>0.73399999999999999</v>
      </c>
      <c r="Y75" s="20">
        <f t="shared" si="3"/>
        <v>0.40300000000000002</v>
      </c>
    </row>
    <row r="76" spans="1:49" x14ac:dyDescent="0.2">
      <c r="A76">
        <f t="shared" si="4"/>
        <v>2042.75</v>
      </c>
      <c r="C76" s="14">
        <f>Results_from_model!C76</f>
        <v>1.8320000000000001</v>
      </c>
      <c r="D76" s="14">
        <f>Results_from_model!D76</f>
        <v>1.982</v>
      </c>
      <c r="E76" s="14">
        <f>Results_from_model!E76</f>
        <v>2.67</v>
      </c>
      <c r="F76" s="14">
        <f>Results_from_model!F76</f>
        <v>2.1869999999999998</v>
      </c>
      <c r="G76" s="14">
        <f>Results_from_model!G76</f>
        <v>2.3410000000000002</v>
      </c>
      <c r="H76" s="14">
        <f>Results_from_model!H76</f>
        <v>3.3370000000000002</v>
      </c>
      <c r="I76" s="14">
        <f>Results_from_model!I76</f>
        <v>2.6749999999999998</v>
      </c>
      <c r="J76" s="14">
        <f>Results_from_model!J76</f>
        <v>4.0350000000000001</v>
      </c>
      <c r="K76" s="14">
        <f>Results_from_model!K76</f>
        <v>1.2629999999999999</v>
      </c>
      <c r="U76" s="20">
        <v>2032</v>
      </c>
      <c r="V76" s="20"/>
      <c r="W76" s="20">
        <f t="shared" si="1"/>
        <v>-5.0000000000000001E-3</v>
      </c>
      <c r="X76" s="20">
        <f t="shared" si="2"/>
        <v>0.97799999999999998</v>
      </c>
      <c r="Y76" s="20">
        <f t="shared" si="3"/>
        <v>0.61299999999999999</v>
      </c>
    </row>
    <row r="77" spans="1:49" x14ac:dyDescent="0.2">
      <c r="A77">
        <f t="shared" si="4"/>
        <v>2043</v>
      </c>
      <c r="C77" s="14">
        <f>Results_from_model!C77</f>
        <v>1.8460000000000001</v>
      </c>
      <c r="D77" s="14">
        <f>Results_from_model!D77</f>
        <v>2.0310000000000001</v>
      </c>
      <c r="E77" s="14">
        <f>Results_from_model!E77</f>
        <v>2.694</v>
      </c>
      <c r="F77" s="14">
        <f>Results_from_model!F77</f>
        <v>2.2069999999999999</v>
      </c>
      <c r="G77" s="14">
        <f>Results_from_model!G77</f>
        <v>2.407</v>
      </c>
      <c r="H77" s="14">
        <f>Results_from_model!H77</f>
        <v>3.375</v>
      </c>
      <c r="I77" s="14">
        <f>Results_from_model!I77</f>
        <v>2.7160000000000002</v>
      </c>
      <c r="J77" s="14">
        <f>Results_from_model!J77</f>
        <v>4.1079999999999997</v>
      </c>
      <c r="K77" s="14">
        <f>Results_from_model!K77</f>
        <v>1.258</v>
      </c>
      <c r="U77" s="20">
        <v>2033</v>
      </c>
      <c r="V77" s="20"/>
      <c r="W77" s="20">
        <f t="shared" si="1"/>
        <v>0.13600000000000001</v>
      </c>
      <c r="X77" s="20">
        <f t="shared" si="2"/>
        <v>1.2030000000000001</v>
      </c>
      <c r="Y77" s="20">
        <f t="shared" si="3"/>
        <v>0.82399999999999995</v>
      </c>
    </row>
    <row r="78" spans="1:49" x14ac:dyDescent="0.2">
      <c r="A78">
        <f t="shared" si="4"/>
        <v>2043.25</v>
      </c>
      <c r="C78" s="14">
        <f>Results_from_model!C78</f>
        <v>1.86</v>
      </c>
      <c r="D78" s="14">
        <f>Results_from_model!D78</f>
        <v>2.08</v>
      </c>
      <c r="E78" s="14">
        <f>Results_from_model!E78</f>
        <v>2.718</v>
      </c>
      <c r="F78" s="14">
        <f>Results_from_model!F78</f>
        <v>2.226</v>
      </c>
      <c r="G78" s="14">
        <f>Results_from_model!G78</f>
        <v>2.4729999999999999</v>
      </c>
      <c r="H78" s="14">
        <f>Results_from_model!H78</f>
        <v>3.4129999999999998</v>
      </c>
      <c r="I78" s="14">
        <f>Results_from_model!I78</f>
        <v>2.7559999999999998</v>
      </c>
      <c r="J78" s="14">
        <f>Results_from_model!J78</f>
        <v>4.18</v>
      </c>
      <c r="K78" s="14">
        <f>Results_from_model!K78</f>
        <v>1.2529999999999999</v>
      </c>
      <c r="U78" s="20">
        <v>2034</v>
      </c>
      <c r="V78" s="20"/>
      <c r="W78" s="20">
        <f t="shared" si="1"/>
        <v>0.29499999999999998</v>
      </c>
      <c r="X78" s="20">
        <f t="shared" si="2"/>
        <v>1.4119999999999999</v>
      </c>
      <c r="Y78" s="20">
        <f t="shared" si="3"/>
        <v>1.032</v>
      </c>
    </row>
    <row r="79" spans="1:49" x14ac:dyDescent="0.2">
      <c r="A79">
        <f t="shared" si="4"/>
        <v>2043.5</v>
      </c>
      <c r="C79" s="14">
        <f>Results_from_model!C79</f>
        <v>1.873</v>
      </c>
      <c r="D79" s="14">
        <f>Results_from_model!D79</f>
        <v>2.1280000000000001</v>
      </c>
      <c r="E79" s="14">
        <f>Results_from_model!E79</f>
        <v>2.742</v>
      </c>
      <c r="F79" s="14">
        <f>Results_from_model!F79</f>
        <v>2.2450000000000001</v>
      </c>
      <c r="G79" s="14">
        <f>Results_from_model!G79</f>
        <v>2.5390000000000001</v>
      </c>
      <c r="H79" s="14">
        <f>Results_from_model!H79</f>
        <v>3.45</v>
      </c>
      <c r="I79" s="14">
        <f>Results_from_model!I79</f>
        <v>2.7959999999999998</v>
      </c>
      <c r="J79" s="14">
        <f>Results_from_model!J79</f>
        <v>4.2510000000000003</v>
      </c>
      <c r="K79" s="14">
        <f>Results_from_model!K79</f>
        <v>1.2490000000000001</v>
      </c>
      <c r="U79" s="20">
        <v>2035</v>
      </c>
      <c r="V79" s="20"/>
      <c r="W79" s="20">
        <f t="shared" si="1"/>
        <v>0.46700000000000003</v>
      </c>
      <c r="X79" s="20">
        <f t="shared" si="2"/>
        <v>1.6040000000000001</v>
      </c>
      <c r="Y79" s="20">
        <f t="shared" si="3"/>
        <v>1.238</v>
      </c>
    </row>
    <row r="80" spans="1:49" x14ac:dyDescent="0.2">
      <c r="A80">
        <f t="shared" si="4"/>
        <v>2043.75</v>
      </c>
      <c r="C80" s="14">
        <f>Results_from_model!C80</f>
        <v>1.887</v>
      </c>
      <c r="D80" s="14">
        <f>Results_from_model!D80</f>
        <v>2.177</v>
      </c>
      <c r="E80" s="14">
        <f>Results_from_model!E80</f>
        <v>2.7650000000000001</v>
      </c>
      <c r="F80" s="14">
        <f>Results_from_model!F80</f>
        <v>2.2629999999999999</v>
      </c>
      <c r="G80" s="14">
        <f>Results_from_model!G80</f>
        <v>2.6040000000000001</v>
      </c>
      <c r="H80" s="14">
        <f>Results_from_model!H80</f>
        <v>3.4860000000000002</v>
      </c>
      <c r="I80" s="14">
        <f>Results_from_model!I80</f>
        <v>2.8359999999999999</v>
      </c>
      <c r="J80" s="14">
        <f>Results_from_model!J80</f>
        <v>4.3209999999999997</v>
      </c>
      <c r="K80" s="14">
        <f>Results_from_model!K80</f>
        <v>1.2450000000000001</v>
      </c>
      <c r="U80" s="20">
        <v>2036</v>
      </c>
      <c r="V80" s="20"/>
      <c r="W80" s="20">
        <f t="shared" si="1"/>
        <v>0.65</v>
      </c>
      <c r="X80" s="20">
        <f t="shared" si="2"/>
        <v>1.782</v>
      </c>
      <c r="Y80" s="20">
        <f t="shared" si="3"/>
        <v>1.44</v>
      </c>
    </row>
    <row r="81" spans="1:25" x14ac:dyDescent="0.2">
      <c r="A81">
        <f t="shared" si="4"/>
        <v>2044</v>
      </c>
      <c r="C81" s="14">
        <f>Results_from_model!C81</f>
        <v>1.9</v>
      </c>
      <c r="D81" s="14">
        <f>Results_from_model!D81</f>
        <v>2.2250000000000001</v>
      </c>
      <c r="E81" s="14">
        <f>Results_from_model!E81</f>
        <v>2.7869999999999999</v>
      </c>
      <c r="F81" s="14">
        <f>Results_from_model!F81</f>
        <v>2.2810000000000001</v>
      </c>
      <c r="G81" s="14">
        <f>Results_from_model!G81</f>
        <v>2.67</v>
      </c>
      <c r="H81" s="14">
        <f>Results_from_model!H81</f>
        <v>3.5209999999999999</v>
      </c>
      <c r="I81" s="14">
        <f>Results_from_model!I81</f>
        <v>2.875</v>
      </c>
      <c r="J81" s="14">
        <f>Results_from_model!J81</f>
        <v>4.3890000000000002</v>
      </c>
      <c r="K81" s="14">
        <f>Results_from_model!K81</f>
        <v>1.242</v>
      </c>
      <c r="U81" s="20">
        <v>2037</v>
      </c>
      <c r="V81" s="20"/>
      <c r="W81" s="20">
        <f t="shared" si="1"/>
        <v>0.84</v>
      </c>
      <c r="X81" s="20">
        <f t="shared" si="2"/>
        <v>1.946</v>
      </c>
      <c r="Y81" s="20">
        <f t="shared" si="3"/>
        <v>1.6379999999999999</v>
      </c>
    </row>
    <row r="82" spans="1:25" x14ac:dyDescent="0.2">
      <c r="A82">
        <f t="shared" si="4"/>
        <v>2044.25</v>
      </c>
      <c r="C82" s="14">
        <f>Results_from_model!C82</f>
        <v>1.913</v>
      </c>
      <c r="D82" s="14">
        <f>Results_from_model!D82</f>
        <v>2.2730000000000001</v>
      </c>
      <c r="E82" s="14">
        <f>Results_from_model!E82</f>
        <v>2.81</v>
      </c>
      <c r="F82" s="14">
        <f>Results_from_model!F82</f>
        <v>2.2989999999999999</v>
      </c>
      <c r="G82" s="14">
        <f>Results_from_model!G82</f>
        <v>2.7349999999999999</v>
      </c>
      <c r="H82" s="14">
        <f>Results_from_model!H82</f>
        <v>3.556</v>
      </c>
      <c r="I82" s="14">
        <f>Results_from_model!I82</f>
        <v>2.9140000000000001</v>
      </c>
      <c r="J82" s="14">
        <f>Results_from_model!J82</f>
        <v>4.4560000000000004</v>
      </c>
      <c r="K82" s="14">
        <f>Results_from_model!K82</f>
        <v>1.238</v>
      </c>
      <c r="U82" s="20">
        <v>2038</v>
      </c>
      <c r="V82" s="20"/>
      <c r="W82" s="20">
        <f t="shared" si="1"/>
        <v>1.036</v>
      </c>
      <c r="X82" s="20">
        <f t="shared" si="2"/>
        <v>2.097</v>
      </c>
      <c r="Y82" s="20">
        <f t="shared" si="3"/>
        <v>1.831</v>
      </c>
    </row>
    <row r="83" spans="1:25" x14ac:dyDescent="0.2">
      <c r="A83">
        <f t="shared" si="4"/>
        <v>2044.5</v>
      </c>
      <c r="C83" s="14">
        <f>Results_from_model!C83</f>
        <v>1.9259999999999999</v>
      </c>
      <c r="D83" s="14">
        <f>Results_from_model!D83</f>
        <v>2.3199999999999998</v>
      </c>
      <c r="E83" s="14">
        <f>Results_from_model!E83</f>
        <v>2.831</v>
      </c>
      <c r="F83" s="14">
        <f>Results_from_model!F83</f>
        <v>2.3170000000000002</v>
      </c>
      <c r="G83" s="14">
        <f>Results_from_model!G83</f>
        <v>2.8</v>
      </c>
      <c r="H83" s="14">
        <f>Results_from_model!H83</f>
        <v>3.589</v>
      </c>
      <c r="I83" s="14">
        <f>Results_from_model!I83</f>
        <v>2.952</v>
      </c>
      <c r="J83" s="14">
        <f>Results_from_model!J83</f>
        <v>4.5220000000000002</v>
      </c>
      <c r="K83" s="14">
        <f>Results_from_model!K83</f>
        <v>1.236</v>
      </c>
      <c r="U83" s="20">
        <v>2039</v>
      </c>
      <c r="V83" s="20"/>
      <c r="W83" s="20">
        <f t="shared" si="1"/>
        <v>1.2350000000000001</v>
      </c>
      <c r="X83" s="20">
        <f t="shared" si="2"/>
        <v>2.2360000000000002</v>
      </c>
      <c r="Y83" s="20">
        <f t="shared" si="3"/>
        <v>2.0190000000000001</v>
      </c>
    </row>
    <row r="84" spans="1:25" x14ac:dyDescent="0.2">
      <c r="A84">
        <f t="shared" si="4"/>
        <v>2044.75</v>
      </c>
      <c r="C84" s="14">
        <f>Results_from_model!C84</f>
        <v>1.9379999999999999</v>
      </c>
      <c r="D84" s="14">
        <f>Results_from_model!D84</f>
        <v>2.367</v>
      </c>
      <c r="E84" s="14">
        <f>Results_from_model!E84</f>
        <v>2.8519999999999999</v>
      </c>
      <c r="F84" s="14">
        <f>Results_from_model!F84</f>
        <v>2.3340000000000001</v>
      </c>
      <c r="G84" s="14">
        <f>Results_from_model!G84</f>
        <v>2.8639999999999999</v>
      </c>
      <c r="H84" s="14">
        <f>Results_from_model!H84</f>
        <v>3.6230000000000002</v>
      </c>
      <c r="I84" s="14">
        <f>Results_from_model!I84</f>
        <v>2.99</v>
      </c>
      <c r="J84" s="14">
        <f>Results_from_model!J84</f>
        <v>4.5860000000000003</v>
      </c>
      <c r="K84" s="14">
        <f>Results_from_model!K84</f>
        <v>1.2330000000000001</v>
      </c>
      <c r="U84" s="20">
        <v>2040</v>
      </c>
      <c r="V84" s="20"/>
      <c r="W84" s="20">
        <f t="shared" si="1"/>
        <v>1.4350000000000001</v>
      </c>
      <c r="X84" s="20">
        <f t="shared" si="2"/>
        <v>2.3650000000000002</v>
      </c>
      <c r="Y84" s="20">
        <f t="shared" si="3"/>
        <v>2.202</v>
      </c>
    </row>
    <row r="85" spans="1:25" x14ac:dyDescent="0.2">
      <c r="A85">
        <f t="shared" si="4"/>
        <v>2045</v>
      </c>
      <c r="C85" s="14">
        <f>Results_from_model!C85</f>
        <v>1.9510000000000001</v>
      </c>
      <c r="D85" s="14">
        <f>Results_from_model!D85</f>
        <v>2.4140000000000001</v>
      </c>
      <c r="E85" s="14">
        <f>Results_from_model!E85</f>
        <v>2.8730000000000002</v>
      </c>
      <c r="F85" s="14">
        <f>Results_from_model!F85</f>
        <v>2.351</v>
      </c>
      <c r="G85" s="14">
        <f>Results_from_model!G85</f>
        <v>2.9289999999999998</v>
      </c>
      <c r="H85" s="14">
        <f>Results_from_model!H85</f>
        <v>3.6549999999999998</v>
      </c>
      <c r="I85" s="14">
        <f>Results_from_model!I85</f>
        <v>3.028</v>
      </c>
      <c r="J85" s="14">
        <f>Results_from_model!J85</f>
        <v>4.649</v>
      </c>
      <c r="K85" s="14">
        <f>Results_from_model!K85</f>
        <v>1.2310000000000001</v>
      </c>
      <c r="U85" s="20">
        <v>2041</v>
      </c>
      <c r="V85" s="20"/>
      <c r="W85" s="20">
        <f t="shared" si="1"/>
        <v>1.6359999999999999</v>
      </c>
      <c r="X85" s="20">
        <f t="shared" si="2"/>
        <v>2.484</v>
      </c>
      <c r="Y85" s="20">
        <f t="shared" si="3"/>
        <v>2.379</v>
      </c>
    </row>
    <row r="86" spans="1:25" x14ac:dyDescent="0.2">
      <c r="A86">
        <f t="shared" si="4"/>
        <v>2045.25</v>
      </c>
      <c r="C86" s="14">
        <f>Results_from_model!C86</f>
        <v>1.9630000000000001</v>
      </c>
      <c r="D86" s="14">
        <f>Results_from_model!D86</f>
        <v>2.4609999999999999</v>
      </c>
      <c r="E86" s="14">
        <f>Results_from_model!E86</f>
        <v>2.8940000000000001</v>
      </c>
      <c r="F86" s="14">
        <f>Results_from_model!F86</f>
        <v>2.367</v>
      </c>
      <c r="G86" s="14">
        <f>Results_from_model!G86</f>
        <v>2.9929999999999999</v>
      </c>
      <c r="H86" s="14">
        <f>Results_from_model!H86</f>
        <v>3.6869999999999998</v>
      </c>
      <c r="I86" s="14">
        <f>Results_from_model!I86</f>
        <v>3.0649999999999999</v>
      </c>
      <c r="J86" s="14">
        <f>Results_from_model!J86</f>
        <v>4.7119999999999997</v>
      </c>
      <c r="K86" s="14">
        <f>Results_from_model!K86</f>
        <v>1.2290000000000001</v>
      </c>
      <c r="U86" s="20">
        <v>2042</v>
      </c>
      <c r="V86" s="20"/>
      <c r="W86" s="20">
        <f t="shared" si="1"/>
        <v>1.835</v>
      </c>
      <c r="X86" s="20">
        <f t="shared" si="2"/>
        <v>2.593</v>
      </c>
      <c r="Y86" s="20">
        <f t="shared" si="3"/>
        <v>2.5510000000000002</v>
      </c>
    </row>
    <row r="87" spans="1:25" x14ac:dyDescent="0.2">
      <c r="A87">
        <f t="shared" si="4"/>
        <v>2045.5</v>
      </c>
      <c r="C87" s="14">
        <f>Results_from_model!C87</f>
        <v>1.9750000000000001</v>
      </c>
      <c r="D87" s="14">
        <f>Results_from_model!D87</f>
        <v>2.5070000000000001</v>
      </c>
      <c r="E87" s="14">
        <f>Results_from_model!E87</f>
        <v>2.9140000000000001</v>
      </c>
      <c r="F87" s="14">
        <f>Results_from_model!F87</f>
        <v>2.383</v>
      </c>
      <c r="G87" s="14">
        <f>Results_from_model!G87</f>
        <v>3.0569999999999999</v>
      </c>
      <c r="H87" s="14">
        <f>Results_from_model!H87</f>
        <v>3.718</v>
      </c>
      <c r="I87" s="14">
        <f>Results_from_model!I87</f>
        <v>3.1019999999999999</v>
      </c>
      <c r="J87" s="14">
        <f>Results_from_model!J87</f>
        <v>4.7729999999999997</v>
      </c>
      <c r="K87" s="14">
        <f>Results_from_model!K87</f>
        <v>1.228</v>
      </c>
      <c r="U87" s="20">
        <v>2043</v>
      </c>
      <c r="V87" s="20"/>
      <c r="W87" s="20">
        <f t="shared" si="1"/>
        <v>2.0310000000000001</v>
      </c>
      <c r="X87" s="20">
        <f t="shared" si="2"/>
        <v>2.694</v>
      </c>
      <c r="Y87" s="20">
        <f t="shared" si="3"/>
        <v>2.7160000000000002</v>
      </c>
    </row>
    <row r="88" spans="1:25" x14ac:dyDescent="0.2">
      <c r="A88">
        <f t="shared" si="4"/>
        <v>2045.75</v>
      </c>
      <c r="C88" s="14">
        <f>Results_from_model!C88</f>
        <v>1.986</v>
      </c>
      <c r="D88" s="14">
        <f>Results_from_model!D88</f>
        <v>2.5529999999999999</v>
      </c>
      <c r="E88" s="14">
        <f>Results_from_model!E88</f>
        <v>2.9329999999999998</v>
      </c>
      <c r="F88" s="14">
        <f>Results_from_model!F88</f>
        <v>2.399</v>
      </c>
      <c r="G88" s="14">
        <f>Results_from_model!G88</f>
        <v>3.12</v>
      </c>
      <c r="H88" s="14">
        <f>Results_from_model!H88</f>
        <v>3.7490000000000001</v>
      </c>
      <c r="I88" s="14">
        <f>Results_from_model!I88</f>
        <v>3.1379999999999999</v>
      </c>
      <c r="J88" s="14">
        <f>Results_from_model!J88</f>
        <v>4.8330000000000002</v>
      </c>
      <c r="K88" s="14">
        <f>Results_from_model!K88</f>
        <v>1.226</v>
      </c>
      <c r="U88" s="20">
        <v>2044</v>
      </c>
      <c r="V88" s="20"/>
      <c r="W88" s="20">
        <f t="shared" si="1"/>
        <v>2.2250000000000001</v>
      </c>
      <c r="X88" s="20">
        <f t="shared" si="2"/>
        <v>2.7869999999999999</v>
      </c>
      <c r="Y88" s="20">
        <f t="shared" si="3"/>
        <v>2.875</v>
      </c>
    </row>
    <row r="89" spans="1:25" x14ac:dyDescent="0.2">
      <c r="A89">
        <f t="shared" si="4"/>
        <v>2046</v>
      </c>
      <c r="C89" s="14">
        <f>Results_from_model!C89</f>
        <v>1.998</v>
      </c>
      <c r="D89" s="14">
        <f>Results_from_model!D89</f>
        <v>2.5990000000000002</v>
      </c>
      <c r="E89" s="14">
        <f>Results_from_model!E89</f>
        <v>2.952</v>
      </c>
      <c r="F89" s="14">
        <f>Results_from_model!F89</f>
        <v>2.415</v>
      </c>
      <c r="G89" s="14">
        <f>Results_from_model!G89</f>
        <v>3.1829999999999998</v>
      </c>
      <c r="H89" s="14">
        <f>Results_from_model!H89</f>
        <v>3.7789999999999999</v>
      </c>
      <c r="I89" s="14">
        <f>Results_from_model!I89</f>
        <v>3.1739999999999999</v>
      </c>
      <c r="J89" s="14">
        <f>Results_from_model!J89</f>
        <v>4.891</v>
      </c>
      <c r="K89" s="14">
        <f>Results_from_model!K89</f>
        <v>1.226</v>
      </c>
      <c r="U89" s="20">
        <v>2045</v>
      </c>
      <c r="V89" s="20"/>
      <c r="W89" s="20">
        <f t="shared" si="1"/>
        <v>2.4140000000000001</v>
      </c>
      <c r="X89" s="20">
        <f t="shared" si="2"/>
        <v>2.8730000000000002</v>
      </c>
      <c r="Y89" s="20">
        <f t="shared" si="3"/>
        <v>3.028</v>
      </c>
    </row>
    <row r="90" spans="1:25" x14ac:dyDescent="0.2">
      <c r="A90">
        <f t="shared" si="4"/>
        <v>2046.25</v>
      </c>
      <c r="C90" s="14">
        <f>Results_from_model!C90</f>
        <v>2.0089999999999999</v>
      </c>
      <c r="D90" s="14">
        <f>Results_from_model!D90</f>
        <v>2.645</v>
      </c>
      <c r="E90" s="14">
        <f>Results_from_model!E90</f>
        <v>2.9710000000000001</v>
      </c>
      <c r="F90" s="14">
        <f>Results_from_model!F90</f>
        <v>2.4300000000000002</v>
      </c>
      <c r="G90" s="14">
        <f>Results_from_model!G90</f>
        <v>3.246</v>
      </c>
      <c r="H90" s="14">
        <f>Results_from_model!H90</f>
        <v>3.8079999999999998</v>
      </c>
      <c r="I90" s="14">
        <f>Results_from_model!I90</f>
        <v>3.21</v>
      </c>
      <c r="J90" s="14">
        <f>Results_from_model!J90</f>
        <v>4.9489999999999998</v>
      </c>
      <c r="K90" s="14">
        <f>Results_from_model!K90</f>
        <v>1.2250000000000001</v>
      </c>
      <c r="U90" s="20">
        <v>2046</v>
      </c>
      <c r="V90" s="20"/>
      <c r="W90" s="20">
        <f t="shared" si="1"/>
        <v>2.5990000000000002</v>
      </c>
      <c r="X90" s="20">
        <f t="shared" si="2"/>
        <v>2.952</v>
      </c>
      <c r="Y90" s="20">
        <f t="shared" si="3"/>
        <v>3.1739999999999999</v>
      </c>
    </row>
    <row r="91" spans="1:25" x14ac:dyDescent="0.2">
      <c r="A91">
        <f t="shared" si="4"/>
        <v>2046.5</v>
      </c>
      <c r="C91" s="14">
        <f>Results_from_model!C91</f>
        <v>2.02</v>
      </c>
      <c r="D91" s="14">
        <f>Results_from_model!D91</f>
        <v>2.69</v>
      </c>
      <c r="E91" s="14">
        <f>Results_from_model!E91</f>
        <v>2.99</v>
      </c>
      <c r="F91" s="14">
        <f>Results_from_model!F91</f>
        <v>2.4449999999999998</v>
      </c>
      <c r="G91" s="14">
        <f>Results_from_model!G91</f>
        <v>3.3090000000000002</v>
      </c>
      <c r="H91" s="14">
        <f>Results_from_model!H91</f>
        <v>3.8370000000000002</v>
      </c>
      <c r="I91" s="14">
        <f>Results_from_model!I91</f>
        <v>3.2450000000000001</v>
      </c>
      <c r="J91" s="14">
        <f>Results_from_model!J91</f>
        <v>5.0060000000000002</v>
      </c>
      <c r="K91" s="14">
        <f>Results_from_model!K91</f>
        <v>1.224</v>
      </c>
      <c r="U91" s="20">
        <v>2047</v>
      </c>
      <c r="V91" s="20"/>
      <c r="W91" s="20">
        <f t="shared" si="1"/>
        <v>2.7789999999999999</v>
      </c>
      <c r="X91" s="20">
        <f t="shared" si="2"/>
        <v>3.0249999999999999</v>
      </c>
      <c r="Y91" s="20">
        <f t="shared" si="3"/>
        <v>3.3149999999999999</v>
      </c>
    </row>
    <row r="92" spans="1:25" x14ac:dyDescent="0.2">
      <c r="A92">
        <f t="shared" si="4"/>
        <v>2046.75</v>
      </c>
      <c r="C92" s="14">
        <f>Results_from_model!C92</f>
        <v>2.0310000000000001</v>
      </c>
      <c r="D92" s="14">
        <f>Results_from_model!D92</f>
        <v>2.7349999999999999</v>
      </c>
      <c r="E92" s="14">
        <f>Results_from_model!E92</f>
        <v>3.008</v>
      </c>
      <c r="F92" s="14">
        <f>Results_from_model!F92</f>
        <v>2.46</v>
      </c>
      <c r="G92" s="14">
        <f>Results_from_model!G92</f>
        <v>3.371</v>
      </c>
      <c r="H92" s="14">
        <f>Results_from_model!H92</f>
        <v>3.8650000000000002</v>
      </c>
      <c r="I92" s="14">
        <f>Results_from_model!I92</f>
        <v>3.28</v>
      </c>
      <c r="J92" s="14">
        <f>Results_from_model!J92</f>
        <v>5.0609999999999999</v>
      </c>
      <c r="K92" s="14">
        <f>Results_from_model!K92</f>
        <v>1.224</v>
      </c>
      <c r="U92" s="20">
        <v>2048</v>
      </c>
      <c r="V92" s="20"/>
      <c r="W92" s="20">
        <f t="shared" si="1"/>
        <v>2.9529999999999998</v>
      </c>
      <c r="X92" s="20">
        <f t="shared" si="2"/>
        <v>3.0920000000000001</v>
      </c>
      <c r="Y92" s="20">
        <f t="shared" si="3"/>
        <v>3.4489999999999998</v>
      </c>
    </row>
    <row r="93" spans="1:25" x14ac:dyDescent="0.2">
      <c r="A93">
        <f t="shared" si="4"/>
        <v>2047</v>
      </c>
      <c r="C93" s="14">
        <f>Results_from_model!C93</f>
        <v>2.0409999999999999</v>
      </c>
      <c r="D93" s="14">
        <f>Results_from_model!D93</f>
        <v>2.7789999999999999</v>
      </c>
      <c r="E93" s="14">
        <f>Results_from_model!E93</f>
        <v>3.0249999999999999</v>
      </c>
      <c r="F93" s="14">
        <f>Results_from_model!F93</f>
        <v>2.4750000000000001</v>
      </c>
      <c r="G93" s="14">
        <f>Results_from_model!G93</f>
        <v>3.4329999999999998</v>
      </c>
      <c r="H93" s="14">
        <f>Results_from_model!H93</f>
        <v>3.8919999999999999</v>
      </c>
      <c r="I93" s="14">
        <f>Results_from_model!I93</f>
        <v>3.3149999999999999</v>
      </c>
      <c r="J93" s="14">
        <f>Results_from_model!J93</f>
        <v>5.1159999999999997</v>
      </c>
      <c r="K93" s="14">
        <f>Results_from_model!K93</f>
        <v>1.224</v>
      </c>
      <c r="U93" s="20">
        <v>2049</v>
      </c>
      <c r="V93" s="20"/>
      <c r="W93" s="20">
        <f t="shared" si="1"/>
        <v>3.1219999999999999</v>
      </c>
      <c r="X93" s="20">
        <f t="shared" si="2"/>
        <v>3.1539999999999999</v>
      </c>
      <c r="Y93" s="20">
        <f t="shared" si="3"/>
        <v>3.577</v>
      </c>
    </row>
    <row r="94" spans="1:25" x14ac:dyDescent="0.2">
      <c r="A94">
        <f t="shared" si="4"/>
        <v>2047.25</v>
      </c>
      <c r="C94" s="14">
        <f>Results_from_model!C94</f>
        <v>2.052</v>
      </c>
      <c r="D94" s="14">
        <f>Results_from_model!D94</f>
        <v>2.823</v>
      </c>
      <c r="E94" s="14">
        <f>Results_from_model!E94</f>
        <v>3.0430000000000001</v>
      </c>
      <c r="F94" s="14">
        <f>Results_from_model!F94</f>
        <v>2.4889999999999999</v>
      </c>
      <c r="G94" s="14">
        <f>Results_from_model!G94</f>
        <v>3.4940000000000002</v>
      </c>
      <c r="H94" s="14">
        <f>Results_from_model!H94</f>
        <v>3.919</v>
      </c>
      <c r="I94" s="14">
        <f>Results_from_model!I94</f>
        <v>3.3490000000000002</v>
      </c>
      <c r="J94" s="14">
        <f>Results_from_model!J94</f>
        <v>5.1689999999999996</v>
      </c>
      <c r="K94" s="14">
        <f>Results_from_model!K94</f>
        <v>1.2250000000000001</v>
      </c>
      <c r="U94" s="20">
        <v>2050</v>
      </c>
      <c r="V94" s="20"/>
      <c r="W94" s="20">
        <f t="shared" si="1"/>
        <v>3.2850000000000001</v>
      </c>
      <c r="X94" s="20">
        <f t="shared" si="2"/>
        <v>3.2109999999999999</v>
      </c>
      <c r="Y94" s="20">
        <f t="shared" si="3"/>
        <v>3.6989999999999998</v>
      </c>
    </row>
    <row r="95" spans="1:25" x14ac:dyDescent="0.2">
      <c r="A95">
        <f t="shared" si="4"/>
        <v>2047.5</v>
      </c>
      <c r="C95" s="14">
        <f>Results_from_model!C95</f>
        <v>2.0619999999999998</v>
      </c>
      <c r="D95" s="14">
        <f>Results_from_model!D95</f>
        <v>2.867</v>
      </c>
      <c r="E95" s="14">
        <f>Results_from_model!E95</f>
        <v>3.0590000000000002</v>
      </c>
      <c r="F95" s="14">
        <f>Results_from_model!F95</f>
        <v>2.5030000000000001</v>
      </c>
      <c r="G95" s="14">
        <f>Results_from_model!G95</f>
        <v>3.5550000000000002</v>
      </c>
      <c r="H95" s="14">
        <f>Results_from_model!H95</f>
        <v>3.9460000000000002</v>
      </c>
      <c r="I95" s="14">
        <f>Results_from_model!I95</f>
        <v>3.383</v>
      </c>
      <c r="J95" s="14">
        <f>Results_from_model!J95</f>
        <v>5.2220000000000004</v>
      </c>
      <c r="K95" s="14">
        <f>Results_from_model!K95</f>
        <v>1.2250000000000001</v>
      </c>
    </row>
    <row r="96" spans="1:25" x14ac:dyDescent="0.2">
      <c r="A96">
        <f t="shared" si="4"/>
        <v>2047.75</v>
      </c>
      <c r="C96" s="14">
        <f>Results_from_model!C96</f>
        <v>2.0720000000000001</v>
      </c>
      <c r="D96" s="14">
        <f>Results_from_model!D96</f>
        <v>2.91</v>
      </c>
      <c r="E96" s="14">
        <f>Results_from_model!E96</f>
        <v>3.0760000000000001</v>
      </c>
      <c r="F96" s="14">
        <f>Results_from_model!F96</f>
        <v>2.5169999999999999</v>
      </c>
      <c r="G96" s="14">
        <f>Results_from_model!G96</f>
        <v>3.6160000000000001</v>
      </c>
      <c r="H96" s="14">
        <f>Results_from_model!H96</f>
        <v>3.972</v>
      </c>
      <c r="I96" s="14">
        <f>Results_from_model!I96</f>
        <v>3.4159999999999999</v>
      </c>
      <c r="J96" s="14">
        <f>Results_from_model!J96</f>
        <v>5.2729999999999997</v>
      </c>
      <c r="K96" s="14">
        <f>Results_from_model!K96</f>
        <v>1.226</v>
      </c>
    </row>
    <row r="97" spans="1:25" x14ac:dyDescent="0.2">
      <c r="A97">
        <f t="shared" si="4"/>
        <v>2048</v>
      </c>
      <c r="C97" s="14">
        <f>Results_from_model!C97</f>
        <v>2.0819999999999999</v>
      </c>
      <c r="D97" s="14">
        <f>Results_from_model!D97</f>
        <v>2.9529999999999998</v>
      </c>
      <c r="E97" s="14">
        <f>Results_from_model!E97</f>
        <v>3.0920000000000001</v>
      </c>
      <c r="F97" s="14">
        <f>Results_from_model!F97</f>
        <v>2.5299999999999998</v>
      </c>
      <c r="G97" s="14">
        <f>Results_from_model!G97</f>
        <v>3.6760000000000002</v>
      </c>
      <c r="H97" s="14">
        <f>Results_from_model!H97</f>
        <v>3.9969999999999999</v>
      </c>
      <c r="I97" s="14">
        <f>Results_from_model!I97</f>
        <v>3.4489999999999998</v>
      </c>
      <c r="J97" s="14">
        <f>Results_from_model!J97</f>
        <v>5.3239999999999998</v>
      </c>
      <c r="K97" s="14">
        <f>Results_from_model!K97</f>
        <v>1.2270000000000001</v>
      </c>
    </row>
    <row r="98" spans="1:25" x14ac:dyDescent="0.2">
      <c r="A98">
        <f t="shared" si="4"/>
        <v>2048.25</v>
      </c>
      <c r="C98" s="14">
        <f>Results_from_model!C98</f>
        <v>2.0920000000000001</v>
      </c>
      <c r="D98" s="14">
        <f>Results_from_model!D98</f>
        <v>2.996</v>
      </c>
      <c r="E98" s="14">
        <f>Results_from_model!E98</f>
        <v>3.1080000000000001</v>
      </c>
      <c r="F98" s="14">
        <f>Results_from_model!F98</f>
        <v>2.544</v>
      </c>
      <c r="G98" s="14">
        <f>Results_from_model!G98</f>
        <v>3.7349999999999999</v>
      </c>
      <c r="H98" s="14">
        <f>Results_from_model!H98</f>
        <v>4.0220000000000002</v>
      </c>
      <c r="I98" s="14">
        <f>Results_from_model!I98</f>
        <v>3.4809999999999999</v>
      </c>
      <c r="J98" s="14">
        <f>Results_from_model!J98</f>
        <v>5.3730000000000002</v>
      </c>
      <c r="K98" s="14">
        <f>Results_from_model!K98</f>
        <v>1.228</v>
      </c>
      <c r="Y98" s="2"/>
    </row>
    <row r="99" spans="1:25" x14ac:dyDescent="0.2">
      <c r="A99">
        <f t="shared" si="4"/>
        <v>2048.5</v>
      </c>
      <c r="C99" s="14">
        <f>Results_from_model!C99</f>
        <v>2.101</v>
      </c>
      <c r="D99" s="14">
        <f>Results_from_model!D99</f>
        <v>3.0390000000000001</v>
      </c>
      <c r="E99" s="14">
        <f>Results_from_model!E99</f>
        <v>3.1240000000000001</v>
      </c>
      <c r="F99" s="14">
        <f>Results_from_model!F99</f>
        <v>2.5569999999999999</v>
      </c>
      <c r="G99" s="14">
        <f>Results_from_model!G99</f>
        <v>3.7949999999999999</v>
      </c>
      <c r="H99" s="14">
        <f>Results_from_model!H99</f>
        <v>4.0460000000000003</v>
      </c>
      <c r="I99" s="14">
        <f>Results_from_model!I99</f>
        <v>3.5139999999999998</v>
      </c>
      <c r="J99" s="14">
        <f>Results_from_model!J99</f>
        <v>5.4219999999999997</v>
      </c>
      <c r="K99" s="14">
        <f>Results_from_model!K99</f>
        <v>1.2290000000000001</v>
      </c>
      <c r="Y99" s="2"/>
    </row>
    <row r="100" spans="1:25" x14ac:dyDescent="0.2">
      <c r="A100">
        <f t="shared" si="4"/>
        <v>2048.75</v>
      </c>
      <c r="C100" s="14">
        <f>Results_from_model!C100</f>
        <v>2.11</v>
      </c>
      <c r="D100" s="14">
        <f>Results_from_model!D100</f>
        <v>3.081</v>
      </c>
      <c r="E100" s="14">
        <f>Results_from_model!E100</f>
        <v>3.1389999999999998</v>
      </c>
      <c r="F100" s="14">
        <f>Results_from_model!F100</f>
        <v>2.569</v>
      </c>
      <c r="G100" s="14">
        <f>Results_from_model!G100</f>
        <v>3.8540000000000001</v>
      </c>
      <c r="H100" s="14">
        <f>Results_from_model!H100</f>
        <v>4.07</v>
      </c>
      <c r="I100" s="14">
        <f>Results_from_model!I100</f>
        <v>3.5449999999999999</v>
      </c>
      <c r="J100" s="14">
        <f>Results_from_model!J100</f>
        <v>5.4690000000000003</v>
      </c>
      <c r="K100" s="14">
        <f>Results_from_model!K100</f>
        <v>1.2310000000000001</v>
      </c>
    </row>
    <row r="101" spans="1:25" x14ac:dyDescent="0.2">
      <c r="A101">
        <f t="shared" si="4"/>
        <v>2049</v>
      </c>
      <c r="C101" s="14">
        <f>Results_from_model!C101</f>
        <v>2.12</v>
      </c>
      <c r="D101" s="14">
        <f>Results_from_model!D101</f>
        <v>3.1219999999999999</v>
      </c>
      <c r="E101" s="14">
        <f>Results_from_model!E101</f>
        <v>3.1539999999999999</v>
      </c>
      <c r="F101" s="14">
        <f>Results_from_model!F101</f>
        <v>2.5819999999999999</v>
      </c>
      <c r="G101" s="14">
        <f>Results_from_model!G101</f>
        <v>3.9119999999999999</v>
      </c>
      <c r="H101" s="14">
        <f>Results_from_model!H101</f>
        <v>4.0940000000000003</v>
      </c>
      <c r="I101" s="14">
        <f>Results_from_model!I101</f>
        <v>3.577</v>
      </c>
      <c r="J101" s="14">
        <f>Results_from_model!J101</f>
        <v>5.516</v>
      </c>
      <c r="K101" s="14">
        <f>Results_from_model!K101</f>
        <v>1.2330000000000001</v>
      </c>
    </row>
    <row r="102" spans="1:25" x14ac:dyDescent="0.2">
      <c r="A102">
        <f t="shared" si="4"/>
        <v>2049.25</v>
      </c>
      <c r="C102" s="14">
        <f>Results_from_model!C102</f>
        <v>2.129</v>
      </c>
      <c r="D102" s="14">
        <f>Results_from_model!D102</f>
        <v>3.1629999999999998</v>
      </c>
      <c r="E102" s="14">
        <f>Results_from_model!E102</f>
        <v>3.169</v>
      </c>
      <c r="F102" s="14">
        <f>Results_from_model!F102</f>
        <v>2.5939999999999999</v>
      </c>
      <c r="G102" s="14">
        <f>Results_from_model!G102</f>
        <v>3.97</v>
      </c>
      <c r="H102" s="14">
        <f>Results_from_model!H102</f>
        <v>4.1159999999999997</v>
      </c>
      <c r="I102" s="14">
        <f>Results_from_model!I102</f>
        <v>3.6080000000000001</v>
      </c>
      <c r="J102" s="14">
        <f>Results_from_model!J102</f>
        <v>5.5620000000000003</v>
      </c>
      <c r="K102" s="14">
        <f>Results_from_model!K102</f>
        <v>1.2350000000000001</v>
      </c>
    </row>
    <row r="103" spans="1:25" x14ac:dyDescent="0.2">
      <c r="A103">
        <f t="shared" si="4"/>
        <v>2049.5</v>
      </c>
      <c r="C103" s="14">
        <f>Results_from_model!C103</f>
        <v>2.137</v>
      </c>
      <c r="D103" s="14">
        <f>Results_from_model!D103</f>
        <v>3.2040000000000002</v>
      </c>
      <c r="E103" s="14">
        <f>Results_from_model!E103</f>
        <v>3.1829999999999998</v>
      </c>
      <c r="F103" s="14">
        <f>Results_from_model!F103</f>
        <v>2.6059999999999999</v>
      </c>
      <c r="G103" s="14">
        <f>Results_from_model!G103</f>
        <v>4.0279999999999996</v>
      </c>
      <c r="H103" s="14">
        <f>Results_from_model!H103</f>
        <v>4.1390000000000002</v>
      </c>
      <c r="I103" s="14">
        <f>Results_from_model!I103</f>
        <v>3.6389999999999998</v>
      </c>
      <c r="J103" s="14">
        <f>Results_from_model!J103</f>
        <v>5.6070000000000002</v>
      </c>
      <c r="K103" s="14">
        <f>Results_from_model!K103</f>
        <v>1.2370000000000001</v>
      </c>
    </row>
    <row r="104" spans="1:25" x14ac:dyDescent="0.2">
      <c r="A104">
        <f t="shared" si="4"/>
        <v>2049.75</v>
      </c>
      <c r="C104" s="14">
        <f>Results_from_model!C104</f>
        <v>2.1459999999999999</v>
      </c>
      <c r="D104" s="14">
        <f>Results_from_model!D104</f>
        <v>3.2450000000000001</v>
      </c>
      <c r="E104" s="14">
        <f>Results_from_model!E104</f>
        <v>3.1970000000000001</v>
      </c>
      <c r="F104" s="14">
        <f>Results_from_model!F104</f>
        <v>2.6179999999999999</v>
      </c>
      <c r="G104" s="14">
        <f>Results_from_model!G104</f>
        <v>4.085</v>
      </c>
      <c r="H104" s="14">
        <f>Results_from_model!H104</f>
        <v>4.1609999999999996</v>
      </c>
      <c r="I104" s="14">
        <f>Results_from_model!I104</f>
        <v>3.669</v>
      </c>
      <c r="J104" s="14">
        <f>Results_from_model!J104</f>
        <v>5.6509999999999998</v>
      </c>
      <c r="K104" s="14">
        <f>Results_from_model!K104</f>
        <v>1.2390000000000001</v>
      </c>
    </row>
    <row r="105" spans="1:25" x14ac:dyDescent="0.2">
      <c r="A105">
        <f t="shared" si="4"/>
        <v>2050</v>
      </c>
      <c r="C105" s="14">
        <f>Results_from_model!C105</f>
        <v>2.1549999999999998</v>
      </c>
      <c r="D105" s="14">
        <f>Results_from_model!D105</f>
        <v>3.2850000000000001</v>
      </c>
      <c r="E105" s="14">
        <f>Results_from_model!E105</f>
        <v>3.2109999999999999</v>
      </c>
      <c r="F105" s="14">
        <f>Results_from_model!F105</f>
        <v>2.63</v>
      </c>
      <c r="G105" s="14">
        <f>Results_from_model!G105</f>
        <v>4.141</v>
      </c>
      <c r="H105" s="14">
        <f>Results_from_model!H105</f>
        <v>4.1820000000000004</v>
      </c>
      <c r="I105" s="14">
        <f>Results_from_model!I105</f>
        <v>3.6989999999999998</v>
      </c>
      <c r="J105" s="14">
        <f>Results_from_model!J105</f>
        <v>5.694</v>
      </c>
      <c r="K105" s="14">
        <f>Results_from_model!K105</f>
        <v>1.2410000000000001</v>
      </c>
    </row>
    <row r="209" spans="1:44" s="4" customFormat="1" x14ac:dyDescent="0.2">
      <c r="A209"/>
      <c r="C209"/>
      <c r="D209"/>
      <c r="E209"/>
      <c r="F209"/>
      <c r="G209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1597" spans="10:17" x14ac:dyDescent="0.2">
      <c r="J1597" s="5"/>
      <c r="K1597" s="5"/>
      <c r="L1597" s="5"/>
      <c r="M1597" s="5"/>
      <c r="N1597" s="5"/>
      <c r="O1597" s="5"/>
      <c r="P1597" s="5"/>
      <c r="Q1597" s="5"/>
    </row>
    <row r="1598" spans="10:17" x14ac:dyDescent="0.2">
      <c r="J1598" s="5"/>
      <c r="K1598" s="5"/>
      <c r="L1598" s="5"/>
      <c r="M1598" s="5"/>
      <c r="N1598" s="5"/>
      <c r="O1598" s="5"/>
      <c r="P1598" s="5"/>
      <c r="Q1598" s="5"/>
    </row>
    <row r="1599" spans="10:17" x14ac:dyDescent="0.2">
      <c r="J1599" s="5"/>
      <c r="K1599" s="5"/>
      <c r="L1599" s="5"/>
      <c r="M1599" s="5"/>
      <c r="N1599" s="5"/>
      <c r="O1599" s="5"/>
      <c r="P1599" s="5"/>
      <c r="Q1599" s="5"/>
    </row>
    <row r="1600" spans="10:17" x14ac:dyDescent="0.2">
      <c r="J1600" s="5"/>
      <c r="K1600" s="5"/>
      <c r="L1600" s="5"/>
      <c r="M1600" s="5"/>
      <c r="N1600" s="5"/>
      <c r="O1600" s="5"/>
      <c r="P1600" s="5"/>
      <c r="Q1600" s="5"/>
    </row>
    <row r="1601" spans="8:17" x14ac:dyDescent="0.2">
      <c r="H1601" s="5"/>
      <c r="J1601" s="5"/>
      <c r="K1601" s="5"/>
      <c r="L1601" s="5"/>
      <c r="M1601" s="5"/>
      <c r="N1601" s="5"/>
      <c r="O1601" s="5"/>
      <c r="P1601" s="5"/>
      <c r="Q1601" s="5"/>
    </row>
    <row r="1602" spans="8:17" x14ac:dyDescent="0.2">
      <c r="H1602" s="5"/>
      <c r="J1602" s="5"/>
      <c r="K1602" s="5"/>
      <c r="L1602" s="5"/>
      <c r="M1602" s="5"/>
      <c r="N1602" s="5"/>
      <c r="O1602" s="5"/>
      <c r="P1602" s="5"/>
      <c r="Q1602" s="5"/>
    </row>
    <row r="1603" spans="8:17" x14ac:dyDescent="0.2">
      <c r="H1603" s="5"/>
      <c r="J1603" s="5"/>
      <c r="K1603" s="5"/>
      <c r="L1603" s="5"/>
      <c r="M1603" s="5"/>
      <c r="N1603" s="5"/>
      <c r="O1603" s="5"/>
      <c r="P1603" s="5"/>
      <c r="Q1603" s="5"/>
    </row>
    <row r="1604" spans="8:17" x14ac:dyDescent="0.2">
      <c r="H1604" s="5"/>
      <c r="J1604" s="5"/>
      <c r="K1604" s="5"/>
      <c r="L1604" s="5"/>
      <c r="M1604" s="5"/>
      <c r="N1604" s="5"/>
      <c r="O1604" s="5"/>
      <c r="P1604" s="5"/>
      <c r="Q1604" s="5"/>
    </row>
    <row r="1605" spans="8:17" x14ac:dyDescent="0.2">
      <c r="H1605" s="5"/>
      <c r="J1605" s="5"/>
      <c r="K1605" s="5"/>
      <c r="L1605" s="5"/>
      <c r="M1605" s="5"/>
      <c r="N1605" s="5"/>
      <c r="O1605" s="5"/>
      <c r="P1605" s="5"/>
      <c r="Q1605" s="5"/>
    </row>
    <row r="1606" spans="8:17" x14ac:dyDescent="0.2">
      <c r="H1606" s="5"/>
      <c r="J1606" s="5"/>
      <c r="K1606" s="5"/>
      <c r="L1606" s="5"/>
      <c r="M1606" s="5"/>
      <c r="N1606" s="5"/>
      <c r="O1606" s="5"/>
      <c r="P1606" s="5"/>
      <c r="Q1606" s="5"/>
    </row>
    <row r="1607" spans="8:17" x14ac:dyDescent="0.2">
      <c r="H1607" s="5"/>
      <c r="J1607" s="5"/>
      <c r="K1607" s="5"/>
      <c r="L1607" s="5"/>
      <c r="M1607" s="5"/>
      <c r="N1607" s="5"/>
      <c r="O1607" s="5"/>
      <c r="P1607" s="5"/>
      <c r="Q1607" s="5"/>
    </row>
    <row r="1608" spans="8:17" x14ac:dyDescent="0.2">
      <c r="H1608" s="5"/>
      <c r="J1608" s="5"/>
      <c r="K1608" s="5"/>
      <c r="L1608" s="5"/>
      <c r="M1608" s="5"/>
      <c r="N1608" s="5"/>
      <c r="O1608" s="5"/>
      <c r="P1608" s="5"/>
      <c r="Q1608" s="5"/>
    </row>
    <row r="1609" spans="8:17" x14ac:dyDescent="0.2">
      <c r="H1609" s="5"/>
      <c r="J1609" s="5"/>
      <c r="K1609" s="5"/>
      <c r="L1609" s="5"/>
      <c r="M1609" s="5"/>
      <c r="N1609" s="5"/>
      <c r="O1609" s="5"/>
      <c r="P1609" s="5"/>
      <c r="Q1609" s="5"/>
    </row>
    <row r="1610" spans="8:17" x14ac:dyDescent="0.2">
      <c r="H1610" s="5"/>
      <c r="J1610" s="5"/>
      <c r="K1610" s="5"/>
      <c r="L1610" s="5"/>
      <c r="M1610" s="5"/>
      <c r="N1610" s="5"/>
      <c r="O1610" s="5"/>
      <c r="P1610" s="5"/>
      <c r="Q1610" s="5"/>
    </row>
    <row r="1611" spans="8:17" x14ac:dyDescent="0.2">
      <c r="H1611" s="5"/>
      <c r="J1611" s="5"/>
      <c r="K1611" s="5"/>
      <c r="L1611" s="5"/>
      <c r="M1611" s="5"/>
      <c r="N1611" s="5"/>
      <c r="O1611" s="5"/>
      <c r="P1611" s="5"/>
      <c r="Q1611" s="5"/>
    </row>
    <row r="1612" spans="8:17" x14ac:dyDescent="0.2">
      <c r="H1612" s="5"/>
      <c r="J1612" s="5"/>
      <c r="K1612" s="5"/>
      <c r="L1612" s="5"/>
      <c r="M1612" s="5"/>
      <c r="N1612" s="5"/>
      <c r="O1612" s="5"/>
      <c r="P1612" s="5"/>
      <c r="Q1612" s="5"/>
    </row>
    <row r="1613" spans="8:17" x14ac:dyDescent="0.2">
      <c r="H1613" s="5"/>
      <c r="J1613" s="5"/>
      <c r="K1613" s="5"/>
      <c r="L1613" s="5"/>
      <c r="M1613" s="5"/>
      <c r="N1613" s="5"/>
      <c r="O1613" s="5"/>
      <c r="P1613" s="5"/>
      <c r="Q1613" s="5"/>
    </row>
    <row r="1614" spans="8:17" x14ac:dyDescent="0.2">
      <c r="H1614" s="5"/>
      <c r="J1614" s="5"/>
      <c r="K1614" s="5"/>
      <c r="L1614" s="5"/>
      <c r="M1614" s="5"/>
      <c r="N1614" s="5"/>
      <c r="O1614" s="5"/>
      <c r="P1614" s="5"/>
      <c r="Q1614" s="5"/>
    </row>
    <row r="1615" spans="8:17" x14ac:dyDescent="0.2">
      <c r="H1615" s="5"/>
      <c r="J1615" s="5"/>
      <c r="K1615" s="5"/>
      <c r="L1615" s="5"/>
      <c r="M1615" s="5"/>
      <c r="N1615" s="5"/>
      <c r="O1615" s="5"/>
      <c r="P1615" s="5"/>
      <c r="Q1615" s="5"/>
    </row>
    <row r="1616" spans="8:17" x14ac:dyDescent="0.2">
      <c r="H1616" s="5"/>
      <c r="J1616" s="5"/>
      <c r="K1616" s="5"/>
      <c r="L1616" s="5"/>
      <c r="M1616" s="5"/>
      <c r="N1616" s="5"/>
      <c r="O1616" s="5"/>
      <c r="P1616" s="5"/>
      <c r="Q1616" s="5"/>
    </row>
    <row r="1617" spans="8:17" x14ac:dyDescent="0.2">
      <c r="H1617" s="5"/>
      <c r="J1617" s="5"/>
      <c r="K1617" s="5"/>
      <c r="L1617" s="5"/>
      <c r="M1617" s="5"/>
      <c r="N1617" s="5"/>
      <c r="O1617" s="5"/>
      <c r="P1617" s="5"/>
      <c r="Q1617" s="5"/>
    </row>
    <row r="1618" spans="8:17" x14ac:dyDescent="0.2">
      <c r="H1618" s="5"/>
      <c r="J1618" s="5"/>
      <c r="K1618" s="5"/>
      <c r="L1618" s="5"/>
      <c r="M1618" s="5"/>
      <c r="N1618" s="5"/>
      <c r="O1618" s="5"/>
      <c r="P1618" s="5"/>
      <c r="Q1618" s="5"/>
    </row>
    <row r="1619" spans="8:17" x14ac:dyDescent="0.2">
      <c r="H1619" s="5"/>
      <c r="J1619" s="5"/>
      <c r="K1619" s="5"/>
      <c r="L1619" s="5"/>
      <c r="M1619" s="5"/>
      <c r="N1619" s="5"/>
      <c r="O1619" s="5"/>
      <c r="P1619" s="5"/>
      <c r="Q1619" s="5"/>
    </row>
    <row r="1620" spans="8:17" x14ac:dyDescent="0.2">
      <c r="H1620" s="5"/>
      <c r="J1620" s="5"/>
      <c r="K1620" s="5"/>
      <c r="L1620" s="5"/>
      <c r="M1620" s="5"/>
      <c r="N1620" s="5"/>
      <c r="O1620" s="5"/>
      <c r="P1620" s="5"/>
      <c r="Q1620" s="5"/>
    </row>
    <row r="1621" spans="8:17" x14ac:dyDescent="0.2">
      <c r="H1621" s="5"/>
      <c r="J1621" s="5"/>
      <c r="K1621" s="5"/>
      <c r="L1621" s="5"/>
      <c r="M1621" s="5"/>
      <c r="N1621" s="5"/>
      <c r="O1621" s="5"/>
      <c r="P1621" s="5"/>
      <c r="Q1621" s="5"/>
    </row>
    <row r="1622" spans="8:17" x14ac:dyDescent="0.2">
      <c r="H1622" s="5"/>
      <c r="J1622" s="5"/>
      <c r="K1622" s="5"/>
      <c r="L1622" s="5"/>
      <c r="M1622" s="5"/>
      <c r="N1622" s="5"/>
      <c r="O1622" s="5"/>
      <c r="P1622" s="5"/>
      <c r="Q1622" s="5"/>
    </row>
    <row r="1623" spans="8:17" x14ac:dyDescent="0.2">
      <c r="H1623" s="5"/>
      <c r="J1623" s="5"/>
      <c r="K1623" s="5"/>
      <c r="L1623" s="5"/>
      <c r="M1623" s="5"/>
      <c r="N1623" s="5"/>
      <c r="O1623" s="5"/>
      <c r="P1623" s="5"/>
      <c r="Q1623" s="5"/>
    </row>
    <row r="1624" spans="8:17" x14ac:dyDescent="0.2">
      <c r="H1624" s="5"/>
      <c r="J1624" s="5"/>
      <c r="K1624" s="5"/>
      <c r="L1624" s="5"/>
      <c r="M1624" s="5"/>
      <c r="N1624" s="5"/>
      <c r="O1624" s="5"/>
      <c r="P1624" s="5"/>
      <c r="Q1624" s="5"/>
    </row>
    <row r="1625" spans="8:17" x14ac:dyDescent="0.2">
      <c r="H1625" s="5"/>
      <c r="J1625" s="5"/>
      <c r="K1625" s="5"/>
      <c r="L1625" s="5"/>
      <c r="M1625" s="5"/>
      <c r="N1625" s="5"/>
      <c r="O1625" s="5"/>
      <c r="P1625" s="5"/>
      <c r="Q1625" s="5"/>
    </row>
    <row r="1626" spans="8:17" x14ac:dyDescent="0.2">
      <c r="H1626" s="5"/>
      <c r="J1626" s="5"/>
      <c r="K1626" s="5"/>
      <c r="L1626" s="5"/>
      <c r="M1626" s="5"/>
      <c r="N1626" s="5"/>
      <c r="O1626" s="5"/>
      <c r="P1626" s="5"/>
      <c r="Q1626" s="5"/>
    </row>
    <row r="1627" spans="8:17" x14ac:dyDescent="0.2">
      <c r="H1627" s="5"/>
      <c r="J1627" s="5"/>
      <c r="K1627" s="5"/>
      <c r="L1627" s="5"/>
      <c r="M1627" s="5"/>
      <c r="N1627" s="5"/>
      <c r="O1627" s="5"/>
      <c r="P1627" s="5"/>
      <c r="Q1627" s="5"/>
    </row>
    <row r="1628" spans="8:17" x14ac:dyDescent="0.2">
      <c r="H1628" s="5"/>
      <c r="J1628" s="5"/>
      <c r="K1628" s="5"/>
      <c r="L1628" s="5"/>
      <c r="M1628" s="5"/>
      <c r="N1628" s="5"/>
      <c r="O1628" s="5"/>
      <c r="P1628" s="5"/>
      <c r="Q1628" s="5"/>
    </row>
    <row r="1629" spans="8:17" x14ac:dyDescent="0.2">
      <c r="H1629" s="5"/>
      <c r="J1629" s="5"/>
      <c r="K1629" s="5"/>
      <c r="L1629" s="5"/>
      <c r="M1629" s="5"/>
      <c r="N1629" s="5"/>
      <c r="O1629" s="5"/>
      <c r="P1629" s="5"/>
      <c r="Q1629" s="5"/>
    </row>
    <row r="1630" spans="8:17" x14ac:dyDescent="0.2">
      <c r="H1630" s="5"/>
      <c r="J1630" s="5"/>
      <c r="K1630" s="5"/>
      <c r="L1630" s="5"/>
      <c r="M1630" s="5"/>
      <c r="N1630" s="5"/>
      <c r="O1630" s="5"/>
      <c r="P1630" s="5"/>
      <c r="Q1630" s="5"/>
    </row>
    <row r="1631" spans="8:17" x14ac:dyDescent="0.2">
      <c r="H1631" s="5"/>
      <c r="J1631" s="5"/>
      <c r="K1631" s="5"/>
      <c r="L1631" s="5"/>
      <c r="M1631" s="5"/>
      <c r="N1631" s="5"/>
      <c r="O1631" s="5"/>
      <c r="P1631" s="5"/>
      <c r="Q1631" s="5"/>
    </row>
    <row r="1632" spans="8:17" x14ac:dyDescent="0.2">
      <c r="H1632" s="5"/>
      <c r="J1632" s="5"/>
      <c r="K1632" s="5"/>
      <c r="L1632" s="5"/>
      <c r="M1632" s="5"/>
      <c r="N1632" s="5"/>
      <c r="O1632" s="5"/>
      <c r="P1632" s="5"/>
      <c r="Q1632" s="5"/>
    </row>
    <row r="1633" spans="8:17" x14ac:dyDescent="0.2">
      <c r="H1633" s="5"/>
      <c r="J1633" s="5"/>
      <c r="K1633" s="5"/>
      <c r="L1633" s="5"/>
      <c r="M1633" s="5"/>
      <c r="N1633" s="5"/>
      <c r="O1633" s="5"/>
      <c r="P1633" s="5"/>
      <c r="Q1633" s="5"/>
    </row>
    <row r="1634" spans="8:17" x14ac:dyDescent="0.2">
      <c r="H1634" s="5"/>
      <c r="J1634" s="5"/>
      <c r="K1634" s="5"/>
      <c r="L1634" s="5"/>
      <c r="M1634" s="5"/>
      <c r="N1634" s="5"/>
      <c r="O1634" s="5"/>
      <c r="P1634" s="5"/>
      <c r="Q1634" s="5"/>
    </row>
    <row r="1635" spans="8:17" x14ac:dyDescent="0.2">
      <c r="H1635" s="5"/>
      <c r="J1635" s="5"/>
      <c r="K1635" s="5"/>
      <c r="L1635" s="5"/>
      <c r="M1635" s="5"/>
      <c r="N1635" s="5"/>
      <c r="O1635" s="5"/>
      <c r="P1635" s="5"/>
      <c r="Q1635" s="5"/>
    </row>
    <row r="1636" spans="8:17" x14ac:dyDescent="0.2">
      <c r="H1636" s="5"/>
      <c r="J1636" s="5"/>
      <c r="K1636" s="5"/>
      <c r="L1636" s="5"/>
      <c r="M1636" s="5"/>
      <c r="N1636" s="5"/>
      <c r="O1636" s="5"/>
      <c r="P1636" s="5"/>
      <c r="Q1636" s="5"/>
    </row>
    <row r="1637" spans="8:17" x14ac:dyDescent="0.2">
      <c r="H1637" s="5"/>
      <c r="J1637" s="5"/>
      <c r="K1637" s="5"/>
      <c r="L1637" s="5"/>
      <c r="M1637" s="5"/>
      <c r="N1637" s="5"/>
      <c r="O1637" s="5"/>
      <c r="P1637" s="5"/>
      <c r="Q1637" s="5"/>
    </row>
    <row r="1638" spans="8:17" x14ac:dyDescent="0.2">
      <c r="H1638" s="5"/>
      <c r="J1638" s="5"/>
      <c r="K1638" s="5"/>
      <c r="L1638" s="5"/>
      <c r="M1638" s="5"/>
      <c r="N1638" s="5"/>
      <c r="O1638" s="5"/>
      <c r="P1638" s="5"/>
      <c r="Q1638" s="5"/>
    </row>
    <row r="1639" spans="8:17" x14ac:dyDescent="0.2">
      <c r="H1639" s="5"/>
      <c r="J1639" s="5"/>
      <c r="K1639" s="5"/>
      <c r="L1639" s="5"/>
      <c r="M1639" s="5"/>
      <c r="N1639" s="5"/>
      <c r="O1639" s="5"/>
      <c r="P1639" s="5"/>
      <c r="Q1639" s="5"/>
    </row>
    <row r="1640" spans="8:17" x14ac:dyDescent="0.2">
      <c r="H1640" s="5"/>
      <c r="J1640" s="5"/>
      <c r="K1640" s="5"/>
      <c r="L1640" s="5"/>
      <c r="M1640" s="5"/>
      <c r="N1640" s="5"/>
      <c r="O1640" s="5"/>
      <c r="P1640" s="5"/>
      <c r="Q1640" s="5"/>
    </row>
    <row r="1641" spans="8:17" x14ac:dyDescent="0.2">
      <c r="H1641" s="5"/>
      <c r="J1641" s="5"/>
      <c r="K1641" s="5"/>
      <c r="L1641" s="5"/>
      <c r="M1641" s="5"/>
      <c r="N1641" s="5"/>
      <c r="O1641" s="5"/>
      <c r="P1641" s="5"/>
      <c r="Q1641" s="5"/>
    </row>
    <row r="1642" spans="8:17" x14ac:dyDescent="0.2">
      <c r="H1642" s="5"/>
      <c r="J1642" s="5"/>
      <c r="K1642" s="5"/>
      <c r="L1642" s="5"/>
      <c r="M1642" s="5"/>
      <c r="N1642" s="5"/>
      <c r="O1642" s="5"/>
      <c r="P1642" s="5"/>
      <c r="Q1642" s="5"/>
    </row>
    <row r="1643" spans="8:17" x14ac:dyDescent="0.2">
      <c r="H1643" s="5"/>
      <c r="J1643" s="5"/>
      <c r="K1643" s="5"/>
      <c r="L1643" s="5"/>
      <c r="M1643" s="5"/>
      <c r="N1643" s="5"/>
      <c r="O1643" s="5"/>
      <c r="P1643" s="5"/>
      <c r="Q1643" s="5"/>
    </row>
    <row r="1644" spans="8:17" x14ac:dyDescent="0.2">
      <c r="H1644" s="5"/>
      <c r="J1644" s="5"/>
      <c r="K1644" s="5"/>
      <c r="L1644" s="5"/>
      <c r="M1644" s="5"/>
      <c r="N1644" s="5"/>
      <c r="O1644" s="5"/>
      <c r="P1644" s="5"/>
      <c r="Q1644" s="5"/>
    </row>
    <row r="1645" spans="8:17" x14ac:dyDescent="0.2">
      <c r="H1645" s="5"/>
      <c r="J1645" s="5"/>
      <c r="K1645" s="5"/>
      <c r="L1645" s="5"/>
      <c r="M1645" s="5"/>
      <c r="N1645" s="5"/>
      <c r="O1645" s="5"/>
      <c r="P1645" s="5"/>
      <c r="Q1645" s="5"/>
    </row>
    <row r="1646" spans="8:17" x14ac:dyDescent="0.2">
      <c r="H1646" s="5"/>
      <c r="J1646" s="5"/>
      <c r="K1646" s="5"/>
      <c r="L1646" s="5"/>
      <c r="M1646" s="5"/>
      <c r="N1646" s="5"/>
      <c r="O1646" s="5"/>
      <c r="P1646" s="5"/>
      <c r="Q1646" s="5"/>
    </row>
    <row r="1647" spans="8:17" x14ac:dyDescent="0.2">
      <c r="H1647" s="5"/>
      <c r="J1647" s="5"/>
      <c r="K1647" s="5"/>
      <c r="L1647" s="5"/>
      <c r="M1647" s="5"/>
      <c r="N1647" s="5"/>
      <c r="O1647" s="5"/>
      <c r="P1647" s="5"/>
      <c r="Q1647" s="5"/>
    </row>
    <row r="1648" spans="8:17" x14ac:dyDescent="0.2">
      <c r="H1648" s="5"/>
      <c r="J1648" s="5"/>
      <c r="K1648" s="5"/>
      <c r="L1648" s="5"/>
      <c r="M1648" s="5"/>
      <c r="N1648" s="5"/>
      <c r="O1648" s="5"/>
      <c r="P1648" s="5"/>
      <c r="Q1648" s="5"/>
    </row>
    <row r="1649" spans="8:17" x14ac:dyDescent="0.2">
      <c r="H1649" s="5"/>
      <c r="J1649" s="5"/>
      <c r="K1649" s="5"/>
      <c r="L1649" s="5"/>
      <c r="M1649" s="5"/>
      <c r="N1649" s="5"/>
      <c r="O1649" s="5"/>
      <c r="P1649" s="5"/>
      <c r="Q1649" s="5"/>
    </row>
    <row r="1650" spans="8:17" x14ac:dyDescent="0.2">
      <c r="H1650" s="5"/>
      <c r="J1650" s="5"/>
      <c r="K1650" s="5"/>
      <c r="L1650" s="5"/>
      <c r="M1650" s="5"/>
      <c r="N1650" s="5"/>
      <c r="O1650" s="5"/>
      <c r="P1650" s="5"/>
      <c r="Q1650" s="5"/>
    </row>
    <row r="1651" spans="8:17" x14ac:dyDescent="0.2">
      <c r="H1651" s="5"/>
      <c r="J1651" s="5"/>
      <c r="K1651" s="5"/>
      <c r="L1651" s="5"/>
      <c r="M1651" s="5"/>
      <c r="N1651" s="5"/>
      <c r="O1651" s="5"/>
      <c r="P1651" s="5"/>
      <c r="Q1651" s="5"/>
    </row>
    <row r="1652" spans="8:17" x14ac:dyDescent="0.2">
      <c r="H1652" s="5"/>
      <c r="J1652" s="5"/>
      <c r="K1652" s="5"/>
      <c r="L1652" s="5"/>
      <c r="M1652" s="5"/>
      <c r="N1652" s="5"/>
      <c r="O1652" s="5"/>
      <c r="P1652" s="5"/>
      <c r="Q1652" s="5"/>
    </row>
    <row r="1653" spans="8:17" x14ac:dyDescent="0.2">
      <c r="H1653" s="5"/>
      <c r="J1653" s="5"/>
      <c r="K1653" s="5"/>
      <c r="L1653" s="5"/>
      <c r="M1653" s="5"/>
      <c r="N1653" s="5"/>
      <c r="O1653" s="5"/>
      <c r="P1653" s="5"/>
      <c r="Q1653" s="5"/>
    </row>
    <row r="1654" spans="8:17" x14ac:dyDescent="0.2">
      <c r="H1654" s="5"/>
      <c r="J1654" s="5"/>
      <c r="K1654" s="5"/>
      <c r="L1654" s="5"/>
      <c r="M1654" s="5"/>
      <c r="N1654" s="5"/>
      <c r="O1654" s="5"/>
      <c r="P1654" s="5"/>
      <c r="Q1654" s="5"/>
    </row>
    <row r="1655" spans="8:17" x14ac:dyDescent="0.2">
      <c r="H1655" s="5"/>
      <c r="J1655" s="5"/>
      <c r="K1655" s="5"/>
      <c r="L1655" s="5"/>
      <c r="M1655" s="5"/>
      <c r="N1655" s="5"/>
      <c r="O1655" s="5"/>
      <c r="P1655" s="5"/>
      <c r="Q1655" s="5"/>
    </row>
    <row r="1656" spans="8:17" x14ac:dyDescent="0.2">
      <c r="H1656" s="5"/>
      <c r="J1656" s="5"/>
      <c r="K1656" s="5"/>
      <c r="L1656" s="5"/>
      <c r="M1656" s="5"/>
      <c r="N1656" s="5"/>
      <c r="O1656" s="5"/>
      <c r="P1656" s="5"/>
      <c r="Q1656" s="5"/>
    </row>
    <row r="1657" spans="8:17" x14ac:dyDescent="0.2">
      <c r="H1657" s="5"/>
      <c r="J1657" s="5"/>
      <c r="K1657" s="5"/>
      <c r="L1657" s="5"/>
      <c r="M1657" s="5"/>
      <c r="N1657" s="5"/>
      <c r="O1657" s="5"/>
      <c r="P1657" s="5"/>
      <c r="Q1657" s="5"/>
    </row>
    <row r="1658" spans="8:17" x14ac:dyDescent="0.2">
      <c r="H1658" s="5"/>
      <c r="J1658" s="5"/>
      <c r="K1658" s="5"/>
      <c r="L1658" s="5"/>
      <c r="M1658" s="5"/>
      <c r="N1658" s="5"/>
      <c r="O1658" s="5"/>
      <c r="P1658" s="5"/>
      <c r="Q1658" s="5"/>
    </row>
    <row r="1659" spans="8:17" x14ac:dyDescent="0.2">
      <c r="H1659" s="5"/>
      <c r="J1659" s="5"/>
      <c r="K1659" s="5"/>
      <c r="L1659" s="5"/>
      <c r="M1659" s="5"/>
      <c r="N1659" s="5"/>
      <c r="O1659" s="5"/>
      <c r="P1659" s="5"/>
      <c r="Q1659" s="5"/>
    </row>
    <row r="1660" spans="8:17" x14ac:dyDescent="0.2">
      <c r="H1660" s="5"/>
      <c r="J1660" s="5"/>
      <c r="K1660" s="5"/>
      <c r="L1660" s="5"/>
      <c r="M1660" s="5"/>
      <c r="N1660" s="5"/>
      <c r="O1660" s="5"/>
      <c r="P1660" s="5"/>
      <c r="Q1660" s="5"/>
    </row>
    <row r="1661" spans="8:17" x14ac:dyDescent="0.2">
      <c r="H1661" s="5"/>
      <c r="J1661" s="5"/>
      <c r="K1661" s="5"/>
      <c r="L1661" s="5"/>
      <c r="M1661" s="5"/>
      <c r="N1661" s="5"/>
      <c r="O1661" s="5"/>
      <c r="P1661" s="5"/>
      <c r="Q1661" s="5"/>
    </row>
    <row r="1662" spans="8:17" x14ac:dyDescent="0.2">
      <c r="H1662" s="5"/>
      <c r="J1662" s="5"/>
      <c r="K1662" s="5"/>
      <c r="L1662" s="5"/>
      <c r="M1662" s="5"/>
      <c r="N1662" s="5"/>
      <c r="O1662" s="5"/>
      <c r="P1662" s="5"/>
      <c r="Q1662" s="5"/>
    </row>
    <row r="1663" spans="8:17" x14ac:dyDescent="0.2">
      <c r="H1663" s="5"/>
      <c r="J1663" s="5"/>
      <c r="K1663" s="5"/>
      <c r="L1663" s="5"/>
      <c r="M1663" s="5"/>
      <c r="N1663" s="5"/>
      <c r="O1663" s="5"/>
      <c r="P1663" s="5"/>
      <c r="Q1663" s="5"/>
    </row>
    <row r="1664" spans="8:17" x14ac:dyDescent="0.2">
      <c r="H1664" s="5"/>
      <c r="J1664" s="5"/>
      <c r="K1664" s="5"/>
      <c r="L1664" s="5"/>
      <c r="M1664" s="5"/>
      <c r="N1664" s="5"/>
      <c r="O1664" s="5"/>
      <c r="P1664" s="5"/>
      <c r="Q1664" s="5"/>
    </row>
    <row r="1665" spans="8:17" x14ac:dyDescent="0.2">
      <c r="H1665" s="5"/>
      <c r="J1665" s="5"/>
      <c r="K1665" s="5"/>
      <c r="L1665" s="5"/>
      <c r="M1665" s="5"/>
      <c r="N1665" s="5"/>
      <c r="O1665" s="5"/>
      <c r="P1665" s="5"/>
      <c r="Q1665" s="5"/>
    </row>
    <row r="1666" spans="8:17" x14ac:dyDescent="0.2">
      <c r="H1666" s="5"/>
      <c r="J1666" s="5"/>
      <c r="K1666" s="5"/>
      <c r="L1666" s="5"/>
      <c r="M1666" s="5"/>
      <c r="N1666" s="5"/>
      <c r="O1666" s="5"/>
      <c r="P1666" s="5"/>
      <c r="Q1666" s="5"/>
    </row>
    <row r="1667" spans="8:17" x14ac:dyDescent="0.2">
      <c r="H1667" s="5"/>
      <c r="J1667" s="5"/>
      <c r="K1667" s="5"/>
      <c r="L1667" s="5"/>
      <c r="M1667" s="5"/>
      <c r="N1667" s="5"/>
      <c r="O1667" s="5"/>
      <c r="P1667" s="5"/>
      <c r="Q1667" s="5"/>
    </row>
    <row r="1668" spans="8:17" x14ac:dyDescent="0.2">
      <c r="H1668" s="5"/>
      <c r="J1668" s="5"/>
      <c r="K1668" s="5"/>
      <c r="L1668" s="5"/>
      <c r="M1668" s="5"/>
      <c r="N1668" s="5"/>
      <c r="O1668" s="5"/>
      <c r="P1668" s="5"/>
      <c r="Q1668" s="5"/>
    </row>
    <row r="1669" spans="8:17" x14ac:dyDescent="0.2">
      <c r="H1669" s="5"/>
      <c r="J1669" s="5"/>
      <c r="K1669" s="5"/>
      <c r="L1669" s="5"/>
      <c r="M1669" s="5"/>
      <c r="N1669" s="5"/>
      <c r="O1669" s="5"/>
      <c r="P1669" s="5"/>
      <c r="Q1669" s="5"/>
    </row>
    <row r="1670" spans="8:17" x14ac:dyDescent="0.2">
      <c r="H1670" s="5"/>
      <c r="J1670" s="5"/>
      <c r="K1670" s="5"/>
      <c r="L1670" s="5"/>
      <c r="M1670" s="5"/>
      <c r="N1670" s="5"/>
      <c r="O1670" s="5"/>
      <c r="P1670" s="5"/>
      <c r="Q1670" s="5"/>
    </row>
    <row r="1671" spans="8:17" x14ac:dyDescent="0.2">
      <c r="H1671" s="5"/>
      <c r="J1671" s="5"/>
      <c r="K1671" s="5"/>
      <c r="L1671" s="5"/>
      <c r="M1671" s="5"/>
      <c r="N1671" s="5"/>
      <c r="O1671" s="5"/>
      <c r="P1671" s="5"/>
      <c r="Q1671" s="5"/>
    </row>
    <row r="1672" spans="8:17" x14ac:dyDescent="0.2">
      <c r="H1672" s="5"/>
      <c r="J1672" s="5"/>
      <c r="K1672" s="5"/>
      <c r="L1672" s="5"/>
      <c r="M1672" s="5"/>
      <c r="N1672" s="5"/>
      <c r="O1672" s="5"/>
      <c r="P1672" s="5"/>
      <c r="Q1672" s="5"/>
    </row>
    <row r="1673" spans="8:17" x14ac:dyDescent="0.2">
      <c r="H1673" s="5"/>
      <c r="J1673" s="5"/>
      <c r="K1673" s="5"/>
      <c r="L1673" s="5"/>
      <c r="M1673" s="5"/>
      <c r="N1673" s="5"/>
      <c r="O1673" s="5"/>
      <c r="P1673" s="5"/>
      <c r="Q1673" s="5"/>
    </row>
    <row r="1674" spans="8:17" x14ac:dyDescent="0.2">
      <c r="H1674" s="5"/>
      <c r="J1674" s="5"/>
      <c r="K1674" s="5"/>
      <c r="L1674" s="5"/>
      <c r="M1674" s="5"/>
      <c r="N1674" s="5"/>
      <c r="O1674" s="5"/>
      <c r="P1674" s="5"/>
      <c r="Q1674" s="5"/>
    </row>
    <row r="1675" spans="8:17" x14ac:dyDescent="0.2">
      <c r="H1675" s="5"/>
      <c r="J1675" s="5"/>
      <c r="K1675" s="5"/>
      <c r="L1675" s="5"/>
      <c r="M1675" s="5"/>
      <c r="N1675" s="5"/>
      <c r="O1675" s="5"/>
      <c r="P1675" s="5"/>
      <c r="Q1675" s="5"/>
    </row>
    <row r="1676" spans="8:17" x14ac:dyDescent="0.2">
      <c r="H1676" s="5"/>
      <c r="J1676" s="5"/>
      <c r="K1676" s="5"/>
      <c r="L1676" s="5"/>
      <c r="M1676" s="5"/>
      <c r="N1676" s="5"/>
      <c r="O1676" s="5"/>
      <c r="P1676" s="5"/>
      <c r="Q1676" s="5"/>
    </row>
    <row r="1677" spans="8:17" x14ac:dyDescent="0.2">
      <c r="H1677" s="5"/>
      <c r="J1677" s="5"/>
      <c r="K1677" s="5"/>
      <c r="L1677" s="5"/>
      <c r="M1677" s="5"/>
      <c r="N1677" s="5"/>
      <c r="O1677" s="5"/>
      <c r="P1677" s="5"/>
      <c r="Q1677" s="5"/>
    </row>
    <row r="1678" spans="8:17" x14ac:dyDescent="0.2">
      <c r="H1678" s="5"/>
      <c r="J1678" s="5"/>
      <c r="K1678" s="5"/>
      <c r="L1678" s="5"/>
      <c r="M1678" s="5"/>
      <c r="N1678" s="5"/>
      <c r="O1678" s="5"/>
      <c r="P1678" s="5"/>
      <c r="Q1678" s="5"/>
    </row>
    <row r="1679" spans="8:17" x14ac:dyDescent="0.2">
      <c r="H1679" s="5"/>
      <c r="J1679" s="5"/>
      <c r="K1679" s="5"/>
      <c r="L1679" s="5"/>
      <c r="M1679" s="5"/>
      <c r="N1679" s="5"/>
      <c r="O1679" s="5"/>
      <c r="P1679" s="5"/>
      <c r="Q1679" s="5"/>
    </row>
    <row r="1680" spans="8:17" x14ac:dyDescent="0.2">
      <c r="H1680" s="5"/>
      <c r="J1680" s="5"/>
      <c r="K1680" s="5"/>
      <c r="L1680" s="5"/>
      <c r="M1680" s="5"/>
      <c r="N1680" s="5"/>
      <c r="O1680" s="5"/>
      <c r="P1680" s="5"/>
      <c r="Q1680" s="5"/>
    </row>
    <row r="1681" spans="8:17" x14ac:dyDescent="0.2">
      <c r="H1681" s="5"/>
      <c r="J1681" s="5"/>
      <c r="K1681" s="5"/>
      <c r="L1681" s="5"/>
      <c r="M1681" s="5"/>
      <c r="N1681" s="5"/>
      <c r="O1681" s="5"/>
      <c r="P1681" s="5"/>
      <c r="Q1681" s="5"/>
    </row>
    <row r="1682" spans="8:17" x14ac:dyDescent="0.2">
      <c r="H1682" s="5"/>
      <c r="J1682" s="5"/>
      <c r="K1682" s="5"/>
      <c r="L1682" s="5"/>
      <c r="M1682" s="5"/>
      <c r="N1682" s="5"/>
      <c r="O1682" s="5"/>
      <c r="P1682" s="5"/>
      <c r="Q1682" s="5"/>
    </row>
    <row r="1683" spans="8:17" x14ac:dyDescent="0.2">
      <c r="H1683" s="5"/>
      <c r="J1683" s="5"/>
      <c r="K1683" s="5"/>
      <c r="L1683" s="5"/>
      <c r="M1683" s="5"/>
      <c r="N1683" s="5"/>
      <c r="O1683" s="5"/>
      <c r="P1683" s="5"/>
      <c r="Q1683" s="5"/>
    </row>
    <row r="1684" spans="8:17" x14ac:dyDescent="0.2">
      <c r="H1684" s="5"/>
      <c r="J1684" s="5"/>
      <c r="K1684" s="5"/>
      <c r="L1684" s="5"/>
      <c r="M1684" s="5"/>
      <c r="N1684" s="5"/>
      <c r="O1684" s="5"/>
      <c r="P1684" s="5"/>
      <c r="Q1684" s="5"/>
    </row>
    <row r="1685" spans="8:17" x14ac:dyDescent="0.2">
      <c r="H1685" s="5"/>
      <c r="J1685" s="5"/>
      <c r="K1685" s="5"/>
      <c r="L1685" s="5"/>
      <c r="M1685" s="5"/>
      <c r="N1685" s="5"/>
      <c r="O1685" s="5"/>
      <c r="P1685" s="5"/>
      <c r="Q1685" s="5"/>
    </row>
    <row r="1686" spans="8:17" x14ac:dyDescent="0.2">
      <c r="H1686" s="5"/>
      <c r="J1686" s="5"/>
      <c r="K1686" s="5"/>
      <c r="L1686" s="5"/>
      <c r="M1686" s="5"/>
      <c r="N1686" s="5"/>
      <c r="O1686" s="5"/>
      <c r="P1686" s="5"/>
      <c r="Q1686" s="5"/>
    </row>
    <row r="1687" spans="8:17" x14ac:dyDescent="0.2">
      <c r="H1687" s="5"/>
      <c r="J1687" s="5"/>
      <c r="K1687" s="5"/>
      <c r="L1687" s="5"/>
      <c r="M1687" s="5"/>
      <c r="N1687" s="5"/>
      <c r="O1687" s="5"/>
      <c r="P1687" s="5"/>
      <c r="Q1687" s="5"/>
    </row>
    <row r="1688" spans="8:17" x14ac:dyDescent="0.2">
      <c r="H1688" s="5"/>
      <c r="J1688" s="5"/>
      <c r="K1688" s="5"/>
      <c r="L1688" s="5"/>
      <c r="M1688" s="5"/>
      <c r="N1688" s="5"/>
      <c r="O1688" s="5"/>
      <c r="P1688" s="5"/>
      <c r="Q1688" s="5"/>
    </row>
    <row r="1689" spans="8:17" x14ac:dyDescent="0.2">
      <c r="H1689" s="5"/>
      <c r="J1689" s="5"/>
      <c r="K1689" s="5"/>
      <c r="L1689" s="5"/>
      <c r="M1689" s="5"/>
      <c r="N1689" s="5"/>
      <c r="O1689" s="5"/>
      <c r="P1689" s="5"/>
      <c r="Q1689" s="5"/>
    </row>
    <row r="1690" spans="8:17" x14ac:dyDescent="0.2">
      <c r="H1690" s="5"/>
      <c r="J1690" s="5"/>
      <c r="K1690" s="5"/>
      <c r="L1690" s="5"/>
      <c r="M1690" s="5"/>
      <c r="N1690" s="5"/>
      <c r="O1690" s="5"/>
      <c r="P1690" s="5"/>
      <c r="Q1690" s="5"/>
    </row>
    <row r="1691" spans="8:17" x14ac:dyDescent="0.2">
      <c r="H1691" s="5"/>
      <c r="J1691" s="5"/>
      <c r="K1691" s="5"/>
      <c r="L1691" s="5"/>
      <c r="M1691" s="5"/>
      <c r="N1691" s="5"/>
      <c r="O1691" s="5"/>
      <c r="P1691" s="5"/>
      <c r="Q1691" s="5"/>
    </row>
    <row r="1692" spans="8:17" x14ac:dyDescent="0.2">
      <c r="H1692" s="5"/>
      <c r="J1692" s="5"/>
      <c r="K1692" s="5"/>
      <c r="L1692" s="5"/>
      <c r="M1692" s="5"/>
      <c r="N1692" s="5"/>
      <c r="O1692" s="5"/>
      <c r="P1692" s="5"/>
      <c r="Q1692" s="5"/>
    </row>
    <row r="1693" spans="8:17" x14ac:dyDescent="0.2">
      <c r="H1693" s="5"/>
      <c r="J1693" s="5"/>
      <c r="K1693" s="5"/>
      <c r="L1693" s="5"/>
      <c r="M1693" s="5"/>
      <c r="N1693" s="5"/>
      <c r="O1693" s="5"/>
      <c r="P1693" s="5"/>
      <c r="Q1693" s="5"/>
    </row>
    <row r="1694" spans="8:17" x14ac:dyDescent="0.2">
      <c r="H1694" s="5"/>
      <c r="J1694" s="5"/>
      <c r="K1694" s="5"/>
      <c r="L1694" s="5"/>
      <c r="M1694" s="5"/>
      <c r="N1694" s="5"/>
      <c r="O1694" s="5"/>
      <c r="P1694" s="5"/>
      <c r="Q1694" s="5"/>
    </row>
    <row r="1695" spans="8:17" x14ac:dyDescent="0.2">
      <c r="H1695" s="5"/>
      <c r="J1695" s="5"/>
      <c r="K1695" s="5"/>
      <c r="L1695" s="5"/>
      <c r="M1695" s="5"/>
      <c r="N1695" s="5"/>
      <c r="O1695" s="5"/>
      <c r="P1695" s="5"/>
      <c r="Q1695" s="5"/>
    </row>
    <row r="1696" spans="8:17" x14ac:dyDescent="0.2">
      <c r="H1696" s="5"/>
      <c r="J1696" s="5"/>
      <c r="K1696" s="5"/>
      <c r="L1696" s="5"/>
      <c r="M1696" s="5"/>
      <c r="N1696" s="5"/>
      <c r="O1696" s="5"/>
      <c r="P1696" s="5"/>
      <c r="Q1696" s="5"/>
    </row>
    <row r="1697" spans="8:17" x14ac:dyDescent="0.2">
      <c r="H1697" s="5"/>
      <c r="J1697" s="5"/>
      <c r="K1697" s="5"/>
      <c r="L1697" s="5"/>
      <c r="M1697" s="5"/>
      <c r="N1697" s="5"/>
      <c r="O1697" s="5"/>
      <c r="P1697" s="5"/>
      <c r="Q1697" s="5"/>
    </row>
    <row r="1698" spans="8:17" x14ac:dyDescent="0.2">
      <c r="H1698" s="5"/>
      <c r="J1698" s="5"/>
      <c r="K1698" s="5"/>
      <c r="L1698" s="5"/>
      <c r="M1698" s="5"/>
      <c r="N1698" s="5"/>
      <c r="O1698" s="5"/>
      <c r="P1698" s="5"/>
      <c r="Q1698" s="5"/>
    </row>
    <row r="1699" spans="8:17" x14ac:dyDescent="0.2">
      <c r="H1699" s="5"/>
      <c r="J1699" s="5"/>
      <c r="K1699" s="5"/>
      <c r="L1699" s="5"/>
      <c r="M1699" s="5"/>
      <c r="N1699" s="5"/>
      <c r="O1699" s="5"/>
      <c r="P1699" s="5"/>
      <c r="Q1699" s="5"/>
    </row>
    <row r="1700" spans="8:17" x14ac:dyDescent="0.2">
      <c r="H1700" s="5"/>
      <c r="J1700" s="5"/>
      <c r="K1700" s="5"/>
      <c r="L1700" s="5"/>
      <c r="M1700" s="5"/>
      <c r="N1700" s="5"/>
      <c r="O1700" s="5"/>
      <c r="P1700" s="5"/>
      <c r="Q1700" s="5"/>
    </row>
    <row r="1701" spans="8:17" x14ac:dyDescent="0.2">
      <c r="H1701" s="5"/>
      <c r="J1701" s="5"/>
      <c r="K1701" s="5"/>
      <c r="L1701" s="5"/>
      <c r="M1701" s="5"/>
      <c r="N1701" s="5"/>
      <c r="O1701" s="5"/>
      <c r="P1701" s="5"/>
      <c r="Q1701" s="5"/>
    </row>
    <row r="1702" spans="8:17" x14ac:dyDescent="0.2">
      <c r="H1702" s="5"/>
      <c r="J1702" s="5"/>
      <c r="K1702" s="5"/>
      <c r="L1702" s="5"/>
      <c r="M1702" s="5"/>
      <c r="N1702" s="5"/>
      <c r="O1702" s="5"/>
      <c r="P1702" s="5"/>
      <c r="Q1702" s="5"/>
    </row>
    <row r="1703" spans="8:17" x14ac:dyDescent="0.2">
      <c r="H1703" s="5"/>
      <c r="J1703" s="5"/>
      <c r="K1703" s="5"/>
      <c r="L1703" s="5"/>
      <c r="M1703" s="5"/>
      <c r="N1703" s="5"/>
      <c r="O1703" s="5"/>
      <c r="P1703" s="5"/>
      <c r="Q1703" s="5"/>
    </row>
    <row r="1704" spans="8:17" x14ac:dyDescent="0.2">
      <c r="H1704" s="5"/>
      <c r="J1704" s="5"/>
      <c r="K1704" s="5"/>
      <c r="L1704" s="5"/>
      <c r="M1704" s="5"/>
      <c r="N1704" s="5"/>
      <c r="O1704" s="5"/>
      <c r="P1704" s="5"/>
      <c r="Q1704" s="5"/>
    </row>
    <row r="1705" spans="8:17" x14ac:dyDescent="0.2">
      <c r="H1705" s="5"/>
      <c r="J1705" s="5"/>
      <c r="K1705" s="5"/>
      <c r="L1705" s="5"/>
      <c r="M1705" s="5"/>
      <c r="N1705" s="5"/>
      <c r="O1705" s="5"/>
      <c r="P1705" s="5"/>
      <c r="Q1705" s="5"/>
    </row>
    <row r="1706" spans="8:17" x14ac:dyDescent="0.2">
      <c r="H1706" s="5"/>
      <c r="J1706" s="5"/>
      <c r="K1706" s="5"/>
      <c r="L1706" s="5"/>
      <c r="M1706" s="5"/>
      <c r="N1706" s="5"/>
      <c r="O1706" s="5"/>
      <c r="P1706" s="5"/>
      <c r="Q1706" s="5"/>
    </row>
    <row r="1707" spans="8:17" x14ac:dyDescent="0.2">
      <c r="H1707" s="5"/>
      <c r="J1707" s="5"/>
      <c r="K1707" s="5"/>
      <c r="L1707" s="5"/>
      <c r="M1707" s="5"/>
      <c r="N1707" s="5"/>
      <c r="O1707" s="5"/>
      <c r="P1707" s="5"/>
      <c r="Q1707" s="5"/>
    </row>
    <row r="1708" spans="8:17" x14ac:dyDescent="0.2">
      <c r="H1708" s="5"/>
      <c r="J1708" s="5"/>
      <c r="K1708" s="5"/>
      <c r="L1708" s="5"/>
      <c r="M1708" s="5"/>
      <c r="N1708" s="5"/>
      <c r="O1708" s="5"/>
      <c r="P1708" s="5"/>
      <c r="Q1708" s="5"/>
    </row>
    <row r="1709" spans="8:17" x14ac:dyDescent="0.2">
      <c r="H1709" s="5"/>
      <c r="J1709" s="5"/>
      <c r="K1709" s="5"/>
      <c r="L1709" s="5"/>
      <c r="M1709" s="5"/>
      <c r="N1709" s="5"/>
      <c r="O1709" s="5"/>
      <c r="P1709" s="5"/>
      <c r="Q1709" s="5"/>
    </row>
    <row r="1710" spans="8:17" x14ac:dyDescent="0.2">
      <c r="H1710" s="5"/>
      <c r="J1710" s="5"/>
      <c r="K1710" s="5"/>
      <c r="L1710" s="5"/>
      <c r="M1710" s="5"/>
      <c r="N1710" s="5"/>
      <c r="O1710" s="5"/>
      <c r="P1710" s="5"/>
      <c r="Q1710" s="5"/>
    </row>
    <row r="1711" spans="8:17" x14ac:dyDescent="0.2">
      <c r="H1711" s="5"/>
      <c r="J1711" s="5"/>
      <c r="K1711" s="5"/>
      <c r="L1711" s="5"/>
      <c r="M1711" s="5"/>
      <c r="N1711" s="5"/>
      <c r="O1711" s="5"/>
      <c r="P1711" s="5"/>
      <c r="Q1711" s="5"/>
    </row>
    <row r="1712" spans="8:17" x14ac:dyDescent="0.2">
      <c r="H1712" s="5"/>
      <c r="J1712" s="5"/>
      <c r="K1712" s="5"/>
      <c r="L1712" s="5"/>
      <c r="M1712" s="5"/>
      <c r="N1712" s="5"/>
      <c r="O1712" s="5"/>
      <c r="P1712" s="5"/>
      <c r="Q1712" s="5"/>
    </row>
    <row r="1713" spans="8:17" x14ac:dyDescent="0.2">
      <c r="H1713" s="5"/>
      <c r="J1713" s="5"/>
      <c r="K1713" s="5"/>
      <c r="L1713" s="5"/>
      <c r="M1713" s="5"/>
      <c r="N1713" s="5"/>
      <c r="O1713" s="5"/>
      <c r="P1713" s="5"/>
      <c r="Q1713" s="5"/>
    </row>
    <row r="1714" spans="8:17" x14ac:dyDescent="0.2">
      <c r="H1714" s="5"/>
      <c r="J1714" s="5"/>
      <c r="K1714" s="5"/>
      <c r="L1714" s="5"/>
      <c r="M1714" s="5"/>
      <c r="N1714" s="5"/>
      <c r="O1714" s="5"/>
      <c r="P1714" s="5"/>
      <c r="Q1714" s="5"/>
    </row>
    <row r="1715" spans="8:17" x14ac:dyDescent="0.2">
      <c r="H1715" s="5"/>
      <c r="J1715" s="5"/>
      <c r="K1715" s="5"/>
      <c r="L1715" s="5"/>
      <c r="M1715" s="5"/>
      <c r="N1715" s="5"/>
      <c r="O1715" s="5"/>
      <c r="P1715" s="5"/>
      <c r="Q1715" s="5"/>
    </row>
    <row r="1716" spans="8:17" x14ac:dyDescent="0.2">
      <c r="H1716" s="5"/>
      <c r="J1716" s="5"/>
      <c r="K1716" s="5"/>
      <c r="L1716" s="5"/>
      <c r="M1716" s="5"/>
      <c r="N1716" s="5"/>
      <c r="O1716" s="5"/>
      <c r="P1716" s="5"/>
      <c r="Q1716" s="5"/>
    </row>
    <row r="1717" spans="8:17" x14ac:dyDescent="0.2">
      <c r="H1717" s="5"/>
      <c r="J1717" s="5"/>
      <c r="K1717" s="5"/>
      <c r="L1717" s="5"/>
      <c r="M1717" s="5"/>
      <c r="N1717" s="5"/>
      <c r="O1717" s="5"/>
      <c r="P1717" s="5"/>
      <c r="Q1717" s="5"/>
    </row>
    <row r="1718" spans="8:17" x14ac:dyDescent="0.2">
      <c r="H1718" s="5"/>
      <c r="J1718" s="5"/>
      <c r="K1718" s="5"/>
      <c r="L1718" s="5"/>
      <c r="M1718" s="5"/>
      <c r="N1718" s="5"/>
      <c r="O1718" s="5"/>
      <c r="P1718" s="5"/>
      <c r="Q1718" s="5"/>
    </row>
    <row r="1719" spans="8:17" x14ac:dyDescent="0.2">
      <c r="H1719" s="5"/>
      <c r="J1719" s="5"/>
      <c r="K1719" s="5"/>
      <c r="L1719" s="5"/>
      <c r="M1719" s="5"/>
      <c r="N1719" s="5"/>
      <c r="O1719" s="5"/>
      <c r="P1719" s="5"/>
      <c r="Q1719" s="5"/>
    </row>
    <row r="1720" spans="8:17" x14ac:dyDescent="0.2">
      <c r="H1720" s="5"/>
      <c r="J1720" s="5"/>
      <c r="K1720" s="5"/>
      <c r="L1720" s="5"/>
      <c r="M1720" s="5"/>
      <c r="N1720" s="5"/>
      <c r="O1720" s="5"/>
      <c r="P1720" s="5"/>
      <c r="Q1720" s="5"/>
    </row>
    <row r="1721" spans="8:17" x14ac:dyDescent="0.2">
      <c r="H1721" s="5"/>
      <c r="J1721" s="5"/>
      <c r="K1721" s="5"/>
      <c r="L1721" s="5"/>
      <c r="M1721" s="5"/>
      <c r="N1721" s="5"/>
      <c r="O1721" s="5"/>
      <c r="P1721" s="5"/>
      <c r="Q1721" s="5"/>
    </row>
    <row r="1722" spans="8:17" x14ac:dyDescent="0.2">
      <c r="H1722" s="5"/>
      <c r="J1722" s="5"/>
      <c r="K1722" s="5"/>
      <c r="L1722" s="5"/>
      <c r="M1722" s="5"/>
      <c r="N1722" s="5"/>
      <c r="O1722" s="5"/>
      <c r="P1722" s="5"/>
      <c r="Q1722" s="5"/>
    </row>
    <row r="1723" spans="8:17" x14ac:dyDescent="0.2">
      <c r="H1723" s="5"/>
      <c r="J1723" s="5"/>
      <c r="K1723" s="5"/>
      <c r="L1723" s="5"/>
      <c r="M1723" s="5"/>
      <c r="N1723" s="5"/>
      <c r="O1723" s="5"/>
      <c r="P1723" s="5"/>
      <c r="Q1723" s="5"/>
    </row>
    <row r="1724" spans="8:17" x14ac:dyDescent="0.2">
      <c r="H1724" s="5"/>
      <c r="J1724" s="5"/>
      <c r="K1724" s="5"/>
      <c r="L1724" s="5"/>
      <c r="M1724" s="5"/>
      <c r="N1724" s="5"/>
      <c r="O1724" s="5"/>
      <c r="P1724" s="5"/>
      <c r="Q1724" s="5"/>
    </row>
    <row r="1725" spans="8:17" x14ac:dyDescent="0.2">
      <c r="H1725" s="5"/>
      <c r="J1725" s="5"/>
      <c r="K1725" s="5"/>
      <c r="L1725" s="5"/>
      <c r="M1725" s="5"/>
      <c r="N1725" s="5"/>
      <c r="O1725" s="5"/>
      <c r="P1725" s="5"/>
      <c r="Q1725" s="5"/>
    </row>
    <row r="1726" spans="8:17" x14ac:dyDescent="0.2">
      <c r="H1726" s="5"/>
      <c r="J1726" s="5"/>
      <c r="K1726" s="5"/>
      <c r="L1726" s="5"/>
      <c r="M1726" s="5"/>
      <c r="N1726" s="5"/>
      <c r="O1726" s="5"/>
      <c r="P1726" s="5"/>
      <c r="Q1726" s="5"/>
    </row>
    <row r="1727" spans="8:17" x14ac:dyDescent="0.2">
      <c r="H1727" s="5"/>
      <c r="J1727" s="5"/>
      <c r="K1727" s="5"/>
      <c r="L1727" s="5"/>
      <c r="M1727" s="5"/>
      <c r="N1727" s="5"/>
      <c r="O1727" s="5"/>
      <c r="P1727" s="5"/>
      <c r="Q1727" s="5"/>
    </row>
    <row r="1728" spans="8:17" x14ac:dyDescent="0.2">
      <c r="H1728" s="5"/>
      <c r="J1728" s="5"/>
      <c r="K1728" s="5"/>
      <c r="L1728" s="5"/>
      <c r="M1728" s="5"/>
      <c r="N1728" s="5"/>
      <c r="O1728" s="5"/>
      <c r="P1728" s="5"/>
      <c r="Q1728" s="5"/>
    </row>
    <row r="1729" spans="8:17" x14ac:dyDescent="0.2">
      <c r="H1729" s="5"/>
      <c r="J1729" s="5"/>
      <c r="K1729" s="5"/>
      <c r="L1729" s="5"/>
      <c r="M1729" s="5"/>
      <c r="N1729" s="5"/>
      <c r="O1729" s="5"/>
      <c r="P1729" s="5"/>
      <c r="Q1729" s="5"/>
    </row>
    <row r="1730" spans="8:17" x14ac:dyDescent="0.2">
      <c r="H1730" s="5"/>
      <c r="J1730" s="5"/>
      <c r="K1730" s="5"/>
      <c r="L1730" s="5"/>
      <c r="M1730" s="5"/>
      <c r="N1730" s="5"/>
      <c r="O1730" s="5"/>
      <c r="P1730" s="5"/>
      <c r="Q1730" s="5"/>
    </row>
    <row r="1731" spans="8:17" x14ac:dyDescent="0.2">
      <c r="H1731" s="5"/>
      <c r="J1731" s="5"/>
      <c r="K1731" s="5"/>
      <c r="L1731" s="5"/>
      <c r="M1731" s="5"/>
      <c r="N1731" s="5"/>
      <c r="O1731" s="5"/>
      <c r="P1731" s="5"/>
      <c r="Q1731" s="5"/>
    </row>
    <row r="1732" spans="8:17" x14ac:dyDescent="0.2">
      <c r="H1732" s="5"/>
      <c r="J1732" s="5"/>
      <c r="K1732" s="5"/>
      <c r="L1732" s="5"/>
      <c r="M1732" s="5"/>
      <c r="N1732" s="5"/>
      <c r="O1732" s="5"/>
      <c r="P1732" s="5"/>
      <c r="Q1732" s="5"/>
    </row>
    <row r="1733" spans="8:17" x14ac:dyDescent="0.2">
      <c r="H1733" s="5"/>
      <c r="J1733" s="5"/>
      <c r="K1733" s="5"/>
      <c r="L1733" s="5"/>
      <c r="M1733" s="5"/>
      <c r="N1733" s="5"/>
      <c r="O1733" s="5"/>
      <c r="P1733" s="5"/>
      <c r="Q1733" s="5"/>
    </row>
    <row r="1734" spans="8:17" x14ac:dyDescent="0.2">
      <c r="H1734" s="5"/>
      <c r="J1734" s="5"/>
      <c r="K1734" s="5"/>
      <c r="L1734" s="5"/>
      <c r="M1734" s="5"/>
      <c r="N1734" s="5"/>
      <c r="O1734" s="5"/>
      <c r="P1734" s="5"/>
      <c r="Q1734" s="5"/>
    </row>
    <row r="1735" spans="8:17" x14ac:dyDescent="0.2">
      <c r="H1735" s="5"/>
      <c r="J1735" s="5"/>
      <c r="K1735" s="5"/>
      <c r="L1735" s="5"/>
      <c r="M1735" s="5"/>
      <c r="N1735" s="5"/>
      <c r="O1735" s="5"/>
      <c r="P1735" s="5"/>
      <c r="Q1735" s="5"/>
    </row>
    <row r="1736" spans="8:17" x14ac:dyDescent="0.2">
      <c r="H1736" s="5"/>
      <c r="J1736" s="5"/>
      <c r="K1736" s="5"/>
      <c r="L1736" s="5"/>
      <c r="M1736" s="5"/>
      <c r="N1736" s="5"/>
      <c r="O1736" s="5"/>
      <c r="P1736" s="5"/>
      <c r="Q1736" s="5"/>
    </row>
    <row r="1737" spans="8:17" x14ac:dyDescent="0.2">
      <c r="H1737" s="5"/>
      <c r="J1737" s="5"/>
      <c r="K1737" s="5"/>
      <c r="L1737" s="5"/>
      <c r="M1737" s="5"/>
      <c r="N1737" s="5"/>
      <c r="O1737" s="5"/>
      <c r="P1737" s="5"/>
      <c r="Q1737" s="5"/>
    </row>
    <row r="1738" spans="8:17" x14ac:dyDescent="0.2">
      <c r="H1738" s="5"/>
      <c r="J1738" s="5"/>
      <c r="K1738" s="5"/>
      <c r="L1738" s="5"/>
      <c r="M1738" s="5"/>
      <c r="N1738" s="5"/>
      <c r="O1738" s="5"/>
      <c r="P1738" s="5"/>
      <c r="Q1738" s="5"/>
    </row>
    <row r="1739" spans="8:17" x14ac:dyDescent="0.2">
      <c r="H1739" s="5"/>
      <c r="J1739" s="5"/>
      <c r="K1739" s="5"/>
      <c r="L1739" s="5"/>
      <c r="M1739" s="5"/>
      <c r="N1739" s="5"/>
      <c r="O1739" s="5"/>
      <c r="P1739" s="5"/>
      <c r="Q1739" s="5"/>
    </row>
    <row r="1740" spans="8:17" x14ac:dyDescent="0.2">
      <c r="H1740" s="5"/>
      <c r="J1740" s="5"/>
      <c r="K1740" s="5"/>
      <c r="L1740" s="5"/>
      <c r="M1740" s="5"/>
      <c r="N1740" s="5"/>
      <c r="O1740" s="5"/>
      <c r="P1740" s="5"/>
      <c r="Q1740" s="5"/>
    </row>
    <row r="1741" spans="8:17" x14ac:dyDescent="0.2">
      <c r="H1741" s="5"/>
      <c r="J1741" s="5"/>
      <c r="K1741" s="5"/>
      <c r="L1741" s="5"/>
      <c r="M1741" s="5"/>
      <c r="N1741" s="5"/>
      <c r="O1741" s="5"/>
      <c r="P1741" s="5"/>
      <c r="Q1741" s="5"/>
    </row>
    <row r="1742" spans="8:17" x14ac:dyDescent="0.2">
      <c r="H1742" s="5"/>
      <c r="J1742" s="5"/>
      <c r="K1742" s="5"/>
      <c r="L1742" s="5"/>
      <c r="M1742" s="5"/>
      <c r="N1742" s="5"/>
      <c r="O1742" s="5"/>
      <c r="P1742" s="5"/>
      <c r="Q1742" s="5"/>
    </row>
    <row r="1743" spans="8:17" x14ac:dyDescent="0.2">
      <c r="H1743" s="5"/>
      <c r="J1743" s="5"/>
      <c r="K1743" s="5"/>
      <c r="L1743" s="5"/>
      <c r="M1743" s="5"/>
      <c r="N1743" s="5"/>
      <c r="O1743" s="5"/>
      <c r="P1743" s="5"/>
      <c r="Q1743" s="5"/>
    </row>
    <row r="1744" spans="8:17" x14ac:dyDescent="0.2">
      <c r="H1744" s="5"/>
      <c r="J1744" s="5"/>
      <c r="K1744" s="5"/>
      <c r="L1744" s="5"/>
      <c r="M1744" s="5"/>
      <c r="N1744" s="5"/>
      <c r="O1744" s="5"/>
      <c r="P1744" s="5"/>
      <c r="Q1744" s="5"/>
    </row>
    <row r="1745" spans="8:17" x14ac:dyDescent="0.2">
      <c r="H1745" s="5"/>
      <c r="J1745" s="5"/>
      <c r="K1745" s="5"/>
      <c r="L1745" s="5"/>
      <c r="M1745" s="5"/>
      <c r="N1745" s="5"/>
      <c r="O1745" s="5"/>
      <c r="P1745" s="5"/>
      <c r="Q1745" s="5"/>
    </row>
    <row r="1746" spans="8:17" x14ac:dyDescent="0.2">
      <c r="H1746" s="5"/>
      <c r="J1746" s="5"/>
      <c r="K1746" s="5"/>
      <c r="L1746" s="5"/>
      <c r="M1746" s="5"/>
      <c r="N1746" s="5"/>
      <c r="O1746" s="5"/>
      <c r="P1746" s="5"/>
      <c r="Q1746" s="5"/>
    </row>
    <row r="1747" spans="8:17" x14ac:dyDescent="0.2">
      <c r="H1747" s="5"/>
      <c r="J1747" s="5"/>
      <c r="K1747" s="5"/>
      <c r="L1747" s="5"/>
      <c r="M1747" s="5"/>
      <c r="N1747" s="5"/>
      <c r="O1747" s="5"/>
      <c r="P1747" s="5"/>
      <c r="Q1747" s="5"/>
    </row>
    <row r="1748" spans="8:17" x14ac:dyDescent="0.2">
      <c r="H1748" s="5"/>
      <c r="J1748" s="5"/>
      <c r="K1748" s="5"/>
      <c r="L1748" s="5"/>
      <c r="M1748" s="5"/>
      <c r="N1748" s="5"/>
      <c r="O1748" s="5"/>
      <c r="P1748" s="5"/>
      <c r="Q1748" s="5"/>
    </row>
    <row r="1749" spans="8:17" x14ac:dyDescent="0.2">
      <c r="H1749" s="5"/>
      <c r="J1749" s="5"/>
      <c r="K1749" s="5"/>
      <c r="L1749" s="5"/>
      <c r="M1749" s="5"/>
      <c r="N1749" s="5"/>
      <c r="O1749" s="5"/>
      <c r="P1749" s="5"/>
      <c r="Q1749" s="5"/>
    </row>
    <row r="1750" spans="8:17" x14ac:dyDescent="0.2">
      <c r="H1750" s="5"/>
      <c r="J1750" s="5"/>
      <c r="K1750" s="5"/>
      <c r="L1750" s="5"/>
      <c r="M1750" s="5"/>
      <c r="N1750" s="5"/>
      <c r="O1750" s="5"/>
      <c r="P1750" s="5"/>
      <c r="Q1750" s="5"/>
    </row>
    <row r="1751" spans="8:17" x14ac:dyDescent="0.2">
      <c r="H1751" s="5"/>
      <c r="J1751" s="5"/>
      <c r="K1751" s="5"/>
      <c r="L1751" s="5"/>
      <c r="M1751" s="5"/>
      <c r="N1751" s="5"/>
      <c r="O1751" s="5"/>
      <c r="P1751" s="5"/>
      <c r="Q1751" s="5"/>
    </row>
    <row r="1752" spans="8:17" x14ac:dyDescent="0.2">
      <c r="H1752" s="5"/>
      <c r="J1752" s="5"/>
      <c r="K1752" s="5"/>
      <c r="L1752" s="5"/>
      <c r="M1752" s="5"/>
      <c r="N1752" s="5"/>
      <c r="O1752" s="5"/>
      <c r="P1752" s="5"/>
      <c r="Q1752" s="5"/>
    </row>
    <row r="1753" spans="8:17" x14ac:dyDescent="0.2">
      <c r="H1753" s="5"/>
      <c r="J1753" s="5"/>
      <c r="K1753" s="5"/>
      <c r="L1753" s="5"/>
      <c r="M1753" s="5"/>
      <c r="N1753" s="5"/>
      <c r="O1753" s="5"/>
      <c r="P1753" s="5"/>
      <c r="Q1753" s="5"/>
    </row>
    <row r="1754" spans="8:17" x14ac:dyDescent="0.2">
      <c r="H1754" s="5"/>
      <c r="J1754" s="5"/>
      <c r="K1754" s="5"/>
      <c r="L1754" s="5"/>
      <c r="M1754" s="5"/>
      <c r="N1754" s="5"/>
      <c r="O1754" s="5"/>
      <c r="P1754" s="5"/>
      <c r="Q1754" s="5"/>
    </row>
    <row r="1755" spans="8:17" x14ac:dyDescent="0.2">
      <c r="H1755" s="5"/>
      <c r="J1755" s="5"/>
      <c r="K1755" s="5"/>
      <c r="L1755" s="5"/>
      <c r="M1755" s="5"/>
      <c r="N1755" s="5"/>
      <c r="O1755" s="5"/>
      <c r="P1755" s="5"/>
      <c r="Q1755" s="5"/>
    </row>
    <row r="1756" spans="8:17" x14ac:dyDescent="0.2">
      <c r="H1756" s="5"/>
      <c r="J1756" s="5"/>
      <c r="K1756" s="5"/>
      <c r="L1756" s="5"/>
      <c r="M1756" s="5"/>
      <c r="N1756" s="5"/>
      <c r="O1756" s="5"/>
      <c r="P1756" s="5"/>
      <c r="Q1756" s="5"/>
    </row>
    <row r="1757" spans="8:17" x14ac:dyDescent="0.2">
      <c r="H1757" s="5"/>
      <c r="J1757" s="5"/>
      <c r="K1757" s="5"/>
      <c r="L1757" s="5"/>
      <c r="M1757" s="5"/>
      <c r="N1757" s="5"/>
      <c r="O1757" s="5"/>
      <c r="P1757" s="5"/>
      <c r="Q1757" s="5"/>
    </row>
    <row r="1758" spans="8:17" x14ac:dyDescent="0.2">
      <c r="H1758" s="5"/>
      <c r="J1758" s="5"/>
      <c r="K1758" s="5"/>
      <c r="L1758" s="5"/>
      <c r="M1758" s="5"/>
      <c r="N1758" s="5"/>
      <c r="O1758" s="5"/>
      <c r="P1758" s="5"/>
      <c r="Q1758" s="5"/>
    </row>
    <row r="1759" spans="8:17" x14ac:dyDescent="0.2">
      <c r="H1759" s="5"/>
      <c r="J1759" s="5"/>
      <c r="K1759" s="5"/>
      <c r="L1759" s="5"/>
      <c r="M1759" s="5"/>
      <c r="N1759" s="5"/>
      <c r="O1759" s="5"/>
      <c r="P1759" s="5"/>
      <c r="Q1759" s="5"/>
    </row>
    <row r="1760" spans="8:17" x14ac:dyDescent="0.2">
      <c r="H1760" s="5"/>
      <c r="J1760" s="5"/>
      <c r="K1760" s="5"/>
      <c r="L1760" s="5"/>
      <c r="M1760" s="5"/>
      <c r="N1760" s="5"/>
      <c r="O1760" s="5"/>
      <c r="P1760" s="5"/>
      <c r="Q1760" s="5"/>
    </row>
    <row r="1761" spans="8:17" x14ac:dyDescent="0.2">
      <c r="H1761" s="5"/>
      <c r="J1761" s="5"/>
      <c r="K1761" s="5"/>
      <c r="L1761" s="5"/>
      <c r="M1761" s="5"/>
      <c r="N1761" s="5"/>
      <c r="O1761" s="5"/>
      <c r="P1761" s="5"/>
      <c r="Q1761" s="5"/>
    </row>
    <row r="1762" spans="8:17" x14ac:dyDescent="0.2">
      <c r="H1762" s="5"/>
      <c r="J1762" s="5"/>
      <c r="K1762" s="5"/>
      <c r="L1762" s="5"/>
      <c r="M1762" s="5"/>
      <c r="N1762" s="5"/>
      <c r="O1762" s="5"/>
      <c r="P1762" s="5"/>
      <c r="Q1762" s="5"/>
    </row>
    <row r="1763" spans="8:17" x14ac:dyDescent="0.2">
      <c r="H1763" s="5"/>
      <c r="J1763" s="5"/>
      <c r="K1763" s="5"/>
      <c r="L1763" s="5"/>
      <c r="M1763" s="5"/>
      <c r="N1763" s="5"/>
      <c r="O1763" s="5"/>
      <c r="P1763" s="5"/>
      <c r="Q1763" s="5"/>
    </row>
    <row r="1764" spans="8:17" x14ac:dyDescent="0.2">
      <c r="H1764" s="5"/>
      <c r="J1764" s="5"/>
      <c r="K1764" s="5"/>
      <c r="L1764" s="5"/>
      <c r="M1764" s="5"/>
      <c r="N1764" s="5"/>
      <c r="O1764" s="5"/>
      <c r="P1764" s="5"/>
      <c r="Q1764" s="5"/>
    </row>
    <row r="1765" spans="8:17" x14ac:dyDescent="0.2">
      <c r="H1765" s="5"/>
      <c r="J1765" s="5"/>
      <c r="K1765" s="5"/>
      <c r="L1765" s="5"/>
      <c r="M1765" s="5"/>
      <c r="N1765" s="5"/>
      <c r="O1765" s="5"/>
      <c r="P1765" s="5"/>
      <c r="Q1765" s="5"/>
    </row>
    <row r="1766" spans="8:17" x14ac:dyDescent="0.2">
      <c r="H1766" s="5"/>
      <c r="J1766" s="5"/>
      <c r="K1766" s="5"/>
      <c r="L1766" s="5"/>
      <c r="M1766" s="5"/>
      <c r="N1766" s="5"/>
      <c r="O1766" s="5"/>
      <c r="P1766" s="5"/>
      <c r="Q1766" s="5"/>
    </row>
    <row r="1767" spans="8:17" x14ac:dyDescent="0.2">
      <c r="H1767" s="5"/>
      <c r="J1767" s="5"/>
      <c r="K1767" s="5"/>
      <c r="L1767" s="5"/>
      <c r="M1767" s="5"/>
      <c r="N1767" s="5"/>
      <c r="O1767" s="5"/>
      <c r="P1767" s="5"/>
      <c r="Q1767" s="5"/>
    </row>
    <row r="1768" spans="8:17" x14ac:dyDescent="0.2">
      <c r="H1768" s="5"/>
      <c r="J1768" s="5"/>
      <c r="K1768" s="5"/>
      <c r="L1768" s="5"/>
      <c r="M1768" s="5"/>
      <c r="N1768" s="5"/>
      <c r="O1768" s="5"/>
      <c r="P1768" s="5"/>
      <c r="Q1768" s="5"/>
    </row>
    <row r="1769" spans="8:17" x14ac:dyDescent="0.2">
      <c r="H1769" s="5"/>
      <c r="J1769" s="5"/>
      <c r="K1769" s="5"/>
      <c r="L1769" s="5"/>
      <c r="M1769" s="5"/>
      <c r="N1769" s="5"/>
      <c r="O1769" s="5"/>
      <c r="P1769" s="5"/>
      <c r="Q1769" s="5"/>
    </row>
    <row r="1770" spans="8:17" x14ac:dyDescent="0.2">
      <c r="H1770" s="5"/>
      <c r="J1770" s="5"/>
      <c r="K1770" s="5"/>
      <c r="L1770" s="5"/>
      <c r="M1770" s="5"/>
      <c r="N1770" s="5"/>
      <c r="O1770" s="5"/>
      <c r="P1770" s="5"/>
      <c r="Q1770" s="5"/>
    </row>
    <row r="1771" spans="8:17" x14ac:dyDescent="0.2">
      <c r="H1771" s="5"/>
      <c r="J1771" s="5"/>
      <c r="K1771" s="5"/>
      <c r="L1771" s="5"/>
      <c r="M1771" s="5"/>
      <c r="N1771" s="5"/>
      <c r="O1771" s="5"/>
      <c r="P1771" s="5"/>
      <c r="Q1771" s="5"/>
    </row>
    <row r="1772" spans="8:17" x14ac:dyDescent="0.2">
      <c r="H1772" s="5"/>
      <c r="J1772" s="5"/>
      <c r="K1772" s="5"/>
      <c r="L1772" s="5"/>
      <c r="M1772" s="5"/>
      <c r="N1772" s="5"/>
      <c r="O1772" s="5"/>
      <c r="P1772" s="5"/>
      <c r="Q1772" s="5"/>
    </row>
    <row r="1773" spans="8:17" x14ac:dyDescent="0.2">
      <c r="H1773" s="5"/>
      <c r="J1773" s="5"/>
      <c r="K1773" s="5"/>
      <c r="L1773" s="5"/>
      <c r="M1773" s="5"/>
      <c r="N1773" s="5"/>
      <c r="O1773" s="5"/>
      <c r="P1773" s="5"/>
      <c r="Q1773" s="5"/>
    </row>
    <row r="1774" spans="8:17" x14ac:dyDescent="0.2">
      <c r="H1774" s="5"/>
      <c r="J1774" s="5"/>
      <c r="K1774" s="5"/>
      <c r="L1774" s="5"/>
      <c r="M1774" s="5"/>
      <c r="N1774" s="5"/>
      <c r="O1774" s="5"/>
      <c r="P1774" s="5"/>
      <c r="Q1774" s="5"/>
    </row>
    <row r="1775" spans="8:17" x14ac:dyDescent="0.2">
      <c r="H1775" s="5"/>
      <c r="J1775" s="5"/>
      <c r="K1775" s="5"/>
      <c r="L1775" s="5"/>
      <c r="M1775" s="5"/>
      <c r="N1775" s="5"/>
      <c r="O1775" s="5"/>
      <c r="P1775" s="5"/>
      <c r="Q1775" s="5"/>
    </row>
    <row r="1776" spans="8:17" x14ac:dyDescent="0.2">
      <c r="H1776" s="5"/>
      <c r="J1776" s="5"/>
      <c r="K1776" s="5"/>
      <c r="L1776" s="5"/>
      <c r="M1776" s="5"/>
      <c r="N1776" s="5"/>
      <c r="O1776" s="5"/>
      <c r="P1776" s="5"/>
      <c r="Q1776" s="5"/>
    </row>
    <row r="1777" spans="8:17" x14ac:dyDescent="0.2">
      <c r="H1777" s="5"/>
      <c r="J1777" s="5"/>
      <c r="K1777" s="5"/>
      <c r="L1777" s="5"/>
      <c r="M1777" s="5"/>
      <c r="N1777" s="5"/>
      <c r="O1777" s="5"/>
      <c r="P1777" s="5"/>
      <c r="Q1777" s="5"/>
    </row>
    <row r="1778" spans="8:17" x14ac:dyDescent="0.2">
      <c r="H1778" s="5"/>
      <c r="J1778" s="5"/>
      <c r="K1778" s="5"/>
      <c r="L1778" s="5"/>
      <c r="M1778" s="5"/>
      <c r="N1778" s="5"/>
      <c r="O1778" s="5"/>
      <c r="P1778" s="5"/>
      <c r="Q1778" s="5"/>
    </row>
    <row r="1779" spans="8:17" x14ac:dyDescent="0.2">
      <c r="H1779" s="5"/>
      <c r="J1779" s="5"/>
      <c r="K1779" s="5"/>
      <c r="L1779" s="5"/>
      <c r="M1779" s="5"/>
      <c r="N1779" s="5"/>
      <c r="O1779" s="5"/>
      <c r="P1779" s="5"/>
      <c r="Q1779" s="5"/>
    </row>
    <row r="1780" spans="8:17" x14ac:dyDescent="0.2">
      <c r="H1780" s="5"/>
      <c r="J1780" s="5"/>
      <c r="K1780" s="5"/>
      <c r="L1780" s="5"/>
      <c r="M1780" s="5"/>
      <c r="N1780" s="5"/>
      <c r="O1780" s="5"/>
      <c r="P1780" s="5"/>
      <c r="Q1780" s="5"/>
    </row>
    <row r="1781" spans="8:17" x14ac:dyDescent="0.2">
      <c r="H1781" s="5"/>
      <c r="J1781" s="5"/>
      <c r="K1781" s="5"/>
      <c r="L1781" s="5"/>
      <c r="M1781" s="5"/>
      <c r="N1781" s="5"/>
      <c r="O1781" s="5"/>
      <c r="P1781" s="5"/>
      <c r="Q1781" s="5"/>
    </row>
    <row r="1782" spans="8:17" x14ac:dyDescent="0.2">
      <c r="H1782" s="5"/>
      <c r="J1782" s="5"/>
      <c r="K1782" s="5"/>
      <c r="L1782" s="5"/>
      <c r="M1782" s="5"/>
      <c r="N1782" s="5"/>
      <c r="O1782" s="5"/>
      <c r="P1782" s="5"/>
      <c r="Q1782" s="5"/>
    </row>
    <row r="1783" spans="8:17" x14ac:dyDescent="0.2">
      <c r="H1783" s="5"/>
      <c r="J1783" s="5"/>
      <c r="K1783" s="5"/>
      <c r="L1783" s="5"/>
      <c r="M1783" s="5"/>
      <c r="N1783" s="5"/>
      <c r="O1783" s="5"/>
      <c r="P1783" s="5"/>
      <c r="Q1783" s="5"/>
    </row>
    <row r="1784" spans="8:17" x14ac:dyDescent="0.2">
      <c r="H1784" s="5"/>
      <c r="J1784" s="5"/>
      <c r="K1784" s="5"/>
      <c r="L1784" s="5"/>
      <c r="M1784" s="5"/>
      <c r="N1784" s="5"/>
      <c r="O1784" s="5"/>
      <c r="P1784" s="5"/>
      <c r="Q1784" s="5"/>
    </row>
    <row r="1785" spans="8:17" x14ac:dyDescent="0.2">
      <c r="H1785" s="5"/>
      <c r="J1785" s="5"/>
      <c r="K1785" s="5"/>
      <c r="L1785" s="5"/>
      <c r="M1785" s="5"/>
      <c r="N1785" s="5"/>
      <c r="O1785" s="5"/>
      <c r="P1785" s="5"/>
      <c r="Q1785" s="5"/>
    </row>
    <row r="1786" spans="8:17" x14ac:dyDescent="0.2">
      <c r="H1786" s="5"/>
      <c r="J1786" s="5"/>
      <c r="K1786" s="5"/>
      <c r="L1786" s="5"/>
      <c r="M1786" s="5"/>
      <c r="N1786" s="5"/>
      <c r="O1786" s="5"/>
      <c r="P1786" s="5"/>
      <c r="Q1786" s="5"/>
    </row>
    <row r="1787" spans="8:17" x14ac:dyDescent="0.2">
      <c r="H1787" s="5"/>
      <c r="J1787" s="5"/>
      <c r="K1787" s="5"/>
      <c r="L1787" s="5"/>
      <c r="M1787" s="5"/>
      <c r="N1787" s="5"/>
      <c r="O1787" s="5"/>
      <c r="P1787" s="5"/>
      <c r="Q1787" s="5"/>
    </row>
    <row r="1788" spans="8:17" x14ac:dyDescent="0.2">
      <c r="H1788" s="5"/>
      <c r="J1788" s="5"/>
      <c r="K1788" s="5"/>
      <c r="L1788" s="5"/>
      <c r="M1788" s="5"/>
      <c r="N1788" s="5"/>
      <c r="O1788" s="5"/>
      <c r="P1788" s="5"/>
      <c r="Q1788" s="5"/>
    </row>
    <row r="1789" spans="8:17" x14ac:dyDescent="0.2">
      <c r="H1789" s="5"/>
      <c r="J1789" s="5"/>
      <c r="K1789" s="5"/>
      <c r="L1789" s="5"/>
      <c r="M1789" s="5"/>
      <c r="N1789" s="5"/>
      <c r="O1789" s="5"/>
      <c r="P1789" s="5"/>
      <c r="Q1789" s="5"/>
    </row>
    <row r="1790" spans="8:17" x14ac:dyDescent="0.2">
      <c r="H1790" s="5"/>
      <c r="J1790" s="5"/>
      <c r="K1790" s="5"/>
      <c r="L1790" s="5"/>
      <c r="M1790" s="5"/>
      <c r="N1790" s="5"/>
      <c r="O1790" s="5"/>
      <c r="P1790" s="5"/>
      <c r="Q1790" s="5"/>
    </row>
    <row r="1791" spans="8:17" x14ac:dyDescent="0.2">
      <c r="H1791" s="5"/>
      <c r="J1791" s="5"/>
      <c r="K1791" s="5"/>
      <c r="L1791" s="5"/>
      <c r="M1791" s="5"/>
      <c r="N1791" s="5"/>
      <c r="O1791" s="5"/>
      <c r="P1791" s="5"/>
      <c r="Q1791" s="5"/>
    </row>
    <row r="1792" spans="8:17" x14ac:dyDescent="0.2">
      <c r="H1792" s="5"/>
      <c r="J1792" s="5"/>
      <c r="K1792" s="5"/>
      <c r="L1792" s="5"/>
      <c r="M1792" s="5"/>
      <c r="N1792" s="5"/>
      <c r="O1792" s="5"/>
      <c r="P1792" s="5"/>
      <c r="Q1792" s="5"/>
    </row>
    <row r="1793" spans="8:17" x14ac:dyDescent="0.2">
      <c r="H1793" s="5"/>
      <c r="J1793" s="5"/>
      <c r="K1793" s="5"/>
      <c r="L1793" s="5"/>
      <c r="M1793" s="5"/>
      <c r="N1793" s="5"/>
      <c r="O1793" s="5"/>
      <c r="P1793" s="5"/>
      <c r="Q1793" s="5"/>
    </row>
    <row r="1794" spans="8:17" x14ac:dyDescent="0.2">
      <c r="H1794" s="5"/>
      <c r="J1794" s="5"/>
      <c r="K1794" s="5"/>
      <c r="L1794" s="5"/>
      <c r="M1794" s="5"/>
      <c r="N1794" s="5"/>
      <c r="O1794" s="5"/>
      <c r="P1794" s="5"/>
      <c r="Q1794" s="5"/>
    </row>
    <row r="1795" spans="8:17" x14ac:dyDescent="0.2">
      <c r="H1795" s="5"/>
      <c r="J1795" s="5"/>
      <c r="K1795" s="5"/>
      <c r="L1795" s="5"/>
      <c r="M1795" s="5"/>
      <c r="N1795" s="5"/>
      <c r="O1795" s="5"/>
      <c r="P1795" s="5"/>
      <c r="Q1795" s="5"/>
    </row>
    <row r="1796" spans="8:17" x14ac:dyDescent="0.2">
      <c r="H1796" s="5"/>
      <c r="J1796" s="5"/>
      <c r="K1796" s="5"/>
      <c r="L1796" s="5"/>
      <c r="M1796" s="5"/>
      <c r="N1796" s="5"/>
      <c r="O1796" s="5"/>
      <c r="P1796" s="5"/>
      <c r="Q1796" s="5"/>
    </row>
    <row r="1797" spans="8:17" x14ac:dyDescent="0.2">
      <c r="H1797" s="5"/>
      <c r="J1797" s="5"/>
      <c r="K1797" s="5"/>
      <c r="L1797" s="5"/>
      <c r="M1797" s="5"/>
      <c r="N1797" s="5"/>
      <c r="O1797" s="5"/>
      <c r="P1797" s="5"/>
      <c r="Q1797" s="5"/>
    </row>
    <row r="1798" spans="8:17" x14ac:dyDescent="0.2">
      <c r="H1798" s="5"/>
      <c r="J1798" s="5"/>
      <c r="K1798" s="5"/>
      <c r="L1798" s="5"/>
      <c r="M1798" s="5"/>
      <c r="N1798" s="5"/>
      <c r="O1798" s="5"/>
      <c r="P1798" s="5"/>
      <c r="Q1798" s="5"/>
    </row>
    <row r="1799" spans="8:17" x14ac:dyDescent="0.2">
      <c r="H1799" s="5"/>
      <c r="J1799" s="5"/>
      <c r="K1799" s="5"/>
      <c r="L1799" s="5"/>
      <c r="M1799" s="5"/>
      <c r="N1799" s="5"/>
      <c r="O1799" s="5"/>
      <c r="P1799" s="5"/>
      <c r="Q1799" s="5"/>
    </row>
    <row r="1800" spans="8:17" x14ac:dyDescent="0.2">
      <c r="H1800" s="5"/>
      <c r="J1800" s="5"/>
      <c r="K1800" s="5"/>
      <c r="L1800" s="5"/>
      <c r="M1800" s="5"/>
      <c r="N1800" s="5"/>
      <c r="O1800" s="5"/>
      <c r="P1800" s="5"/>
      <c r="Q1800" s="5"/>
    </row>
    <row r="1801" spans="8:17" x14ac:dyDescent="0.2">
      <c r="H1801" s="5"/>
      <c r="J1801" s="5"/>
      <c r="K1801" s="5"/>
      <c r="L1801" s="5"/>
      <c r="M1801" s="5"/>
      <c r="N1801" s="5"/>
      <c r="O1801" s="5"/>
      <c r="P1801" s="5"/>
      <c r="Q1801" s="5"/>
    </row>
    <row r="1802" spans="8:17" x14ac:dyDescent="0.2">
      <c r="H1802" s="5"/>
      <c r="J1802" s="5"/>
      <c r="K1802" s="5"/>
      <c r="L1802" s="5"/>
      <c r="M1802" s="5"/>
      <c r="N1802" s="5"/>
      <c r="O1802" s="5"/>
      <c r="P1802" s="5"/>
      <c r="Q1802" s="5"/>
    </row>
    <row r="1803" spans="8:17" x14ac:dyDescent="0.2">
      <c r="H1803" s="5"/>
      <c r="J1803" s="5"/>
      <c r="K1803" s="5"/>
      <c r="L1803" s="5"/>
      <c r="M1803" s="5"/>
      <c r="N1803" s="5"/>
      <c r="O1803" s="5"/>
      <c r="P1803" s="5"/>
      <c r="Q1803" s="5"/>
    </row>
    <row r="1804" spans="8:17" x14ac:dyDescent="0.2">
      <c r="H1804" s="5"/>
      <c r="J1804" s="5"/>
      <c r="K1804" s="5"/>
      <c r="L1804" s="5"/>
      <c r="M1804" s="5"/>
      <c r="N1804" s="5"/>
      <c r="O1804" s="5"/>
      <c r="P1804" s="5"/>
      <c r="Q1804" s="5"/>
    </row>
    <row r="1805" spans="8:17" x14ac:dyDescent="0.2">
      <c r="H1805" s="5"/>
      <c r="J1805" s="5"/>
      <c r="K1805" s="5"/>
      <c r="L1805" s="5"/>
      <c r="M1805" s="5"/>
      <c r="N1805" s="5"/>
      <c r="O1805" s="5"/>
      <c r="P1805" s="5"/>
      <c r="Q1805" s="5"/>
    </row>
    <row r="1806" spans="8:17" x14ac:dyDescent="0.2">
      <c r="H1806" s="5"/>
      <c r="J1806" s="5"/>
      <c r="K1806" s="5"/>
      <c r="L1806" s="5"/>
      <c r="M1806" s="5"/>
      <c r="N1806" s="5"/>
      <c r="O1806" s="5"/>
      <c r="P1806" s="5"/>
      <c r="Q1806" s="5"/>
    </row>
    <row r="1807" spans="8:17" x14ac:dyDescent="0.2">
      <c r="H1807" s="5"/>
      <c r="J1807" s="5"/>
      <c r="K1807" s="5"/>
      <c r="L1807" s="5"/>
      <c r="M1807" s="5"/>
      <c r="N1807" s="5"/>
      <c r="O1807" s="5"/>
      <c r="P1807" s="5"/>
      <c r="Q1807" s="5"/>
    </row>
    <row r="1808" spans="8:17" x14ac:dyDescent="0.2">
      <c r="H1808" s="5"/>
      <c r="J1808" s="5"/>
      <c r="K1808" s="5"/>
      <c r="L1808" s="5"/>
      <c r="M1808" s="5"/>
      <c r="N1808" s="5"/>
      <c r="O1808" s="5"/>
      <c r="P1808" s="5"/>
      <c r="Q1808" s="5"/>
    </row>
    <row r="1809" spans="8:17" x14ac:dyDescent="0.2">
      <c r="H1809" s="5"/>
      <c r="J1809" s="5"/>
      <c r="K1809" s="5"/>
      <c r="L1809" s="5"/>
      <c r="M1809" s="5"/>
      <c r="N1809" s="5"/>
      <c r="O1809" s="5"/>
      <c r="P1809" s="5"/>
      <c r="Q1809" s="5"/>
    </row>
    <row r="1810" spans="8:17" x14ac:dyDescent="0.2">
      <c r="H1810" s="5"/>
      <c r="J1810" s="5"/>
      <c r="K1810" s="5"/>
      <c r="L1810" s="5"/>
      <c r="M1810" s="5"/>
      <c r="N1810" s="5"/>
      <c r="O1810" s="5"/>
      <c r="P1810" s="5"/>
      <c r="Q1810" s="5"/>
    </row>
    <row r="1811" spans="8:17" x14ac:dyDescent="0.2">
      <c r="H1811" s="5"/>
      <c r="J1811" s="5"/>
      <c r="K1811" s="5"/>
      <c r="L1811" s="5"/>
      <c r="M1811" s="5"/>
      <c r="N1811" s="5"/>
      <c r="O1811" s="5"/>
      <c r="P1811" s="5"/>
      <c r="Q1811" s="5"/>
    </row>
    <row r="1812" spans="8:17" x14ac:dyDescent="0.2">
      <c r="H1812" s="5"/>
      <c r="J1812" s="5"/>
      <c r="K1812" s="5"/>
      <c r="L1812" s="5"/>
      <c r="M1812" s="5"/>
      <c r="N1812" s="5"/>
      <c r="O1812" s="5"/>
      <c r="P1812" s="5"/>
      <c r="Q1812" s="5"/>
    </row>
    <row r="1813" spans="8:17" x14ac:dyDescent="0.2">
      <c r="H1813" s="5"/>
      <c r="J1813" s="5"/>
      <c r="K1813" s="5"/>
      <c r="L1813" s="5"/>
      <c r="M1813" s="5"/>
      <c r="N1813" s="5"/>
      <c r="O1813" s="5"/>
      <c r="P1813" s="5"/>
      <c r="Q1813" s="5"/>
    </row>
    <row r="1814" spans="8:17" x14ac:dyDescent="0.2">
      <c r="H1814" s="5"/>
      <c r="J1814" s="5"/>
      <c r="K1814" s="5"/>
      <c r="L1814" s="5"/>
      <c r="M1814" s="5"/>
      <c r="N1814" s="5"/>
      <c r="O1814" s="5"/>
      <c r="P1814" s="5"/>
      <c r="Q1814" s="5"/>
    </row>
    <row r="1815" spans="8:17" x14ac:dyDescent="0.2">
      <c r="H1815" s="5"/>
      <c r="J1815" s="5"/>
      <c r="K1815" s="5"/>
      <c r="L1815" s="5"/>
      <c r="M1815" s="5"/>
      <c r="N1815" s="5"/>
      <c r="O1815" s="5"/>
      <c r="P1815" s="5"/>
      <c r="Q1815" s="5"/>
    </row>
    <row r="1816" spans="8:17" x14ac:dyDescent="0.2">
      <c r="H1816" s="5"/>
      <c r="J1816" s="5"/>
      <c r="K1816" s="5"/>
      <c r="L1816" s="5"/>
      <c r="M1816" s="5"/>
      <c r="N1816" s="5"/>
      <c r="O1816" s="5"/>
      <c r="P1816" s="5"/>
      <c r="Q1816" s="5"/>
    </row>
    <row r="1817" spans="8:17" x14ac:dyDescent="0.2">
      <c r="H1817" s="5"/>
      <c r="J1817" s="5"/>
      <c r="K1817" s="5"/>
      <c r="L1817" s="5"/>
      <c r="M1817" s="5"/>
      <c r="N1817" s="5"/>
      <c r="O1817" s="5"/>
      <c r="P1817" s="5"/>
      <c r="Q1817" s="5"/>
    </row>
    <row r="1818" spans="8:17" x14ac:dyDescent="0.2">
      <c r="H1818" s="5"/>
      <c r="J1818" s="5"/>
      <c r="K1818" s="5"/>
      <c r="L1818" s="5"/>
      <c r="M1818" s="5"/>
      <c r="N1818" s="5"/>
      <c r="O1818" s="5"/>
      <c r="P1818" s="5"/>
      <c r="Q1818" s="5"/>
    </row>
    <row r="1819" spans="8:17" x14ac:dyDescent="0.2">
      <c r="H1819" s="5"/>
      <c r="J1819" s="5"/>
      <c r="K1819" s="5"/>
      <c r="L1819" s="5"/>
      <c r="M1819" s="5"/>
      <c r="N1819" s="5"/>
      <c r="O1819" s="5"/>
      <c r="P1819" s="5"/>
      <c r="Q1819" s="5"/>
    </row>
    <row r="1820" spans="8:17" x14ac:dyDescent="0.2">
      <c r="H1820" s="5"/>
      <c r="J1820" s="5"/>
      <c r="K1820" s="5"/>
      <c r="L1820" s="5"/>
      <c r="M1820" s="5"/>
      <c r="N1820" s="5"/>
      <c r="O1820" s="5"/>
      <c r="P1820" s="5"/>
      <c r="Q1820" s="5"/>
    </row>
    <row r="1821" spans="8:17" x14ac:dyDescent="0.2">
      <c r="H1821" s="5"/>
      <c r="J1821" s="5"/>
      <c r="K1821" s="5"/>
      <c r="L1821" s="5"/>
      <c r="M1821" s="5"/>
      <c r="N1821" s="5"/>
      <c r="O1821" s="5"/>
      <c r="P1821" s="5"/>
      <c r="Q1821" s="5"/>
    </row>
    <row r="1822" spans="8:17" x14ac:dyDescent="0.2">
      <c r="H1822" s="5"/>
      <c r="J1822" s="5"/>
      <c r="K1822" s="5"/>
      <c r="L1822" s="5"/>
      <c r="M1822" s="5"/>
      <c r="N1822" s="5"/>
      <c r="O1822" s="5"/>
      <c r="P1822" s="5"/>
      <c r="Q1822" s="5"/>
    </row>
    <row r="1823" spans="8:17" x14ac:dyDescent="0.2">
      <c r="H1823" s="5"/>
      <c r="J1823" s="5"/>
      <c r="K1823" s="5"/>
      <c r="L1823" s="5"/>
      <c r="M1823" s="5"/>
      <c r="N1823" s="5"/>
      <c r="O1823" s="5"/>
      <c r="P1823" s="5"/>
      <c r="Q1823" s="5"/>
    </row>
    <row r="1824" spans="8:17" x14ac:dyDescent="0.2">
      <c r="H1824" s="5"/>
      <c r="J1824" s="5"/>
      <c r="K1824" s="5"/>
      <c r="L1824" s="5"/>
      <c r="M1824" s="5"/>
      <c r="N1824" s="5"/>
      <c r="O1824" s="5"/>
      <c r="P1824" s="5"/>
      <c r="Q1824" s="5"/>
    </row>
    <row r="1825" spans="8:17" x14ac:dyDescent="0.2">
      <c r="H1825" s="5"/>
      <c r="J1825" s="5"/>
      <c r="K1825" s="5"/>
      <c r="L1825" s="5"/>
      <c r="M1825" s="5"/>
      <c r="N1825" s="5"/>
      <c r="O1825" s="5"/>
      <c r="P1825" s="5"/>
      <c r="Q1825" s="5"/>
    </row>
    <row r="1826" spans="8:17" x14ac:dyDescent="0.2">
      <c r="H1826" s="5"/>
      <c r="J1826" s="5"/>
      <c r="K1826" s="5"/>
      <c r="L1826" s="5"/>
      <c r="M1826" s="5"/>
      <c r="N1826" s="5"/>
      <c r="O1826" s="5"/>
      <c r="P1826" s="5"/>
      <c r="Q1826" s="5"/>
    </row>
    <row r="1827" spans="8:17" x14ac:dyDescent="0.2">
      <c r="H1827" s="5"/>
      <c r="J1827" s="5"/>
      <c r="K1827" s="5"/>
      <c r="L1827" s="5"/>
      <c r="M1827" s="5"/>
      <c r="N1827" s="5"/>
      <c r="O1827" s="5"/>
      <c r="P1827" s="5"/>
      <c r="Q1827" s="5"/>
    </row>
    <row r="1828" spans="8:17" x14ac:dyDescent="0.2">
      <c r="H1828" s="5"/>
      <c r="J1828" s="5"/>
      <c r="K1828" s="5"/>
      <c r="L1828" s="5"/>
      <c r="M1828" s="5"/>
      <c r="N1828" s="5"/>
      <c r="O1828" s="5"/>
      <c r="P1828" s="5"/>
      <c r="Q1828" s="5"/>
    </row>
    <row r="1829" spans="8:17" x14ac:dyDescent="0.2">
      <c r="H1829" s="5"/>
      <c r="J1829" s="5"/>
      <c r="K1829" s="5"/>
      <c r="L1829" s="5"/>
      <c r="M1829" s="5"/>
      <c r="N1829" s="5"/>
      <c r="O1829" s="5"/>
      <c r="P1829" s="5"/>
      <c r="Q1829" s="5"/>
    </row>
    <row r="1830" spans="8:17" x14ac:dyDescent="0.2">
      <c r="H1830" s="5"/>
      <c r="J1830" s="5"/>
      <c r="K1830" s="5"/>
      <c r="L1830" s="5"/>
      <c r="M1830" s="5"/>
      <c r="N1830" s="5"/>
      <c r="O1830" s="5"/>
      <c r="P1830" s="5"/>
      <c r="Q1830" s="5"/>
    </row>
    <row r="1831" spans="8:17" x14ac:dyDescent="0.2">
      <c r="H1831" s="5"/>
      <c r="J1831" s="5"/>
      <c r="K1831" s="5"/>
      <c r="L1831" s="5"/>
      <c r="M1831" s="5"/>
      <c r="N1831" s="5"/>
      <c r="O1831" s="5"/>
      <c r="P1831" s="5"/>
      <c r="Q1831" s="5"/>
    </row>
    <row r="1832" spans="8:17" x14ac:dyDescent="0.2">
      <c r="H1832" s="5"/>
      <c r="J1832" s="5"/>
      <c r="K1832" s="5"/>
      <c r="L1832" s="5"/>
      <c r="M1832" s="5"/>
      <c r="N1832" s="5"/>
      <c r="O1832" s="5"/>
      <c r="P1832" s="5"/>
      <c r="Q1832" s="5"/>
    </row>
    <row r="1833" spans="8:17" x14ac:dyDescent="0.2">
      <c r="H1833" s="5"/>
      <c r="J1833" s="5"/>
      <c r="K1833" s="5"/>
      <c r="L1833" s="5"/>
      <c r="M1833" s="5"/>
      <c r="N1833" s="5"/>
      <c r="O1833" s="5"/>
      <c r="P1833" s="5"/>
      <c r="Q1833" s="5"/>
    </row>
    <row r="1834" spans="8:17" x14ac:dyDescent="0.2">
      <c r="H1834" s="5"/>
      <c r="J1834" s="5"/>
      <c r="K1834" s="5"/>
      <c r="L1834" s="5"/>
      <c r="M1834" s="5"/>
      <c r="N1834" s="5"/>
      <c r="O1834" s="5"/>
      <c r="P1834" s="5"/>
      <c r="Q1834" s="5"/>
    </row>
    <row r="1835" spans="8:17" x14ac:dyDescent="0.2">
      <c r="H1835" s="5"/>
      <c r="J1835" s="5"/>
      <c r="K1835" s="5"/>
      <c r="L1835" s="5"/>
      <c r="M1835" s="5"/>
      <c r="N1835" s="5"/>
      <c r="O1835" s="5"/>
      <c r="P1835" s="5"/>
      <c r="Q1835" s="5"/>
    </row>
    <row r="1836" spans="8:17" x14ac:dyDescent="0.2">
      <c r="H1836" s="5"/>
      <c r="J1836" s="5"/>
      <c r="K1836" s="5"/>
      <c r="L1836" s="5"/>
      <c r="M1836" s="5"/>
      <c r="N1836" s="5"/>
      <c r="O1836" s="5"/>
      <c r="P1836" s="5"/>
      <c r="Q1836" s="5"/>
    </row>
    <row r="1837" spans="8:17" x14ac:dyDescent="0.2">
      <c r="H1837" s="5"/>
      <c r="J1837" s="5"/>
      <c r="K1837" s="5"/>
      <c r="L1837" s="5"/>
      <c r="M1837" s="5"/>
      <c r="N1837" s="5"/>
      <c r="O1837" s="5"/>
      <c r="P1837" s="5"/>
      <c r="Q1837" s="5"/>
    </row>
    <row r="1838" spans="8:17" x14ac:dyDescent="0.2">
      <c r="H1838" s="5"/>
      <c r="J1838" s="5"/>
      <c r="K1838" s="5"/>
      <c r="L1838" s="5"/>
      <c r="M1838" s="5"/>
      <c r="N1838" s="5"/>
      <c r="O1838" s="5"/>
      <c r="P1838" s="5"/>
      <c r="Q1838" s="5"/>
    </row>
    <row r="1839" spans="8:17" x14ac:dyDescent="0.2">
      <c r="H1839" s="5"/>
      <c r="J1839" s="5"/>
      <c r="K1839" s="5"/>
      <c r="L1839" s="5"/>
      <c r="M1839" s="5"/>
      <c r="N1839" s="5"/>
      <c r="O1839" s="5"/>
      <c r="P1839" s="5"/>
      <c r="Q1839" s="5"/>
    </row>
    <row r="1840" spans="8:17" x14ac:dyDescent="0.2">
      <c r="H1840" s="5"/>
      <c r="J1840" s="5"/>
      <c r="K1840" s="5"/>
      <c r="L1840" s="5"/>
      <c r="M1840" s="5"/>
      <c r="N1840" s="5"/>
      <c r="O1840" s="5"/>
      <c r="P1840" s="5"/>
      <c r="Q1840" s="5"/>
    </row>
    <row r="1841" spans="8:17" x14ac:dyDescent="0.2">
      <c r="H1841" s="5"/>
      <c r="J1841" s="5"/>
      <c r="K1841" s="5"/>
      <c r="L1841" s="5"/>
      <c r="M1841" s="5"/>
      <c r="N1841" s="5"/>
      <c r="O1841" s="5"/>
      <c r="P1841" s="5"/>
      <c r="Q1841" s="5"/>
    </row>
    <row r="1842" spans="8:17" x14ac:dyDescent="0.2">
      <c r="H1842" s="5"/>
      <c r="J1842" s="5"/>
      <c r="K1842" s="5"/>
      <c r="L1842" s="5"/>
      <c r="M1842" s="5"/>
      <c r="N1842" s="5"/>
      <c r="O1842" s="5"/>
      <c r="P1842" s="5"/>
      <c r="Q1842" s="5"/>
    </row>
    <row r="1843" spans="8:17" x14ac:dyDescent="0.2">
      <c r="H1843" s="5"/>
      <c r="J1843" s="5"/>
      <c r="K1843" s="5"/>
      <c r="L1843" s="5"/>
      <c r="M1843" s="5"/>
      <c r="N1843" s="5"/>
      <c r="O1843" s="5"/>
      <c r="P1843" s="5"/>
      <c r="Q1843" s="5"/>
    </row>
    <row r="1844" spans="8:17" x14ac:dyDescent="0.2">
      <c r="H1844" s="5"/>
      <c r="J1844" s="5"/>
      <c r="K1844" s="5"/>
      <c r="L1844" s="5"/>
      <c r="M1844" s="5"/>
      <c r="N1844" s="5"/>
      <c r="O1844" s="5"/>
      <c r="P1844" s="5"/>
      <c r="Q1844" s="5"/>
    </row>
    <row r="1845" spans="8:17" x14ac:dyDescent="0.2">
      <c r="H1845" s="5"/>
      <c r="J1845" s="5"/>
      <c r="K1845" s="5"/>
      <c r="L1845" s="5"/>
      <c r="M1845" s="5"/>
      <c r="N1845" s="5"/>
      <c r="O1845" s="5"/>
      <c r="P1845" s="5"/>
      <c r="Q1845" s="5"/>
    </row>
    <row r="1846" spans="8:17" x14ac:dyDescent="0.2">
      <c r="H1846" s="5"/>
      <c r="J1846" s="5"/>
      <c r="K1846" s="5"/>
      <c r="L1846" s="5"/>
      <c r="M1846" s="5"/>
      <c r="N1846" s="5"/>
      <c r="O1846" s="5"/>
      <c r="P1846" s="5"/>
      <c r="Q1846" s="5"/>
    </row>
    <row r="1847" spans="8:17" x14ac:dyDescent="0.2">
      <c r="H1847" s="5"/>
      <c r="J1847" s="5"/>
      <c r="K1847" s="5"/>
      <c r="L1847" s="5"/>
      <c r="M1847" s="5"/>
      <c r="N1847" s="5"/>
      <c r="O1847" s="5"/>
      <c r="P1847" s="5"/>
      <c r="Q1847" s="5"/>
    </row>
    <row r="1848" spans="8:17" x14ac:dyDescent="0.2">
      <c r="H1848" s="5"/>
      <c r="J1848" s="5"/>
      <c r="K1848" s="5"/>
      <c r="L1848" s="5"/>
      <c r="M1848" s="5"/>
      <c r="N1848" s="5"/>
      <c r="O1848" s="5"/>
      <c r="P1848" s="5"/>
      <c r="Q1848" s="5"/>
    </row>
    <row r="1849" spans="8:17" x14ac:dyDescent="0.2">
      <c r="H1849" s="5"/>
      <c r="J1849" s="5"/>
      <c r="K1849" s="5"/>
      <c r="L1849" s="5"/>
      <c r="M1849" s="5"/>
      <c r="N1849" s="5"/>
      <c r="O1849" s="5"/>
      <c r="P1849" s="5"/>
      <c r="Q1849" s="5"/>
    </row>
    <row r="1850" spans="8:17" x14ac:dyDescent="0.2">
      <c r="H1850" s="5"/>
      <c r="J1850" s="5"/>
      <c r="K1850" s="5"/>
      <c r="L1850" s="5"/>
      <c r="M1850" s="5"/>
      <c r="N1850" s="5"/>
      <c r="O1850" s="5"/>
      <c r="P1850" s="5"/>
      <c r="Q1850" s="5"/>
    </row>
    <row r="1851" spans="8:17" x14ac:dyDescent="0.2">
      <c r="H1851" s="5"/>
      <c r="J1851" s="5"/>
      <c r="K1851" s="5"/>
      <c r="L1851" s="5"/>
      <c r="M1851" s="5"/>
      <c r="N1851" s="5"/>
      <c r="O1851" s="5"/>
      <c r="P1851" s="5"/>
      <c r="Q1851" s="5"/>
    </row>
    <row r="1852" spans="8:17" x14ac:dyDescent="0.2">
      <c r="H1852" s="5"/>
      <c r="J1852" s="5"/>
      <c r="K1852" s="5"/>
      <c r="L1852" s="5"/>
      <c r="M1852" s="5"/>
      <c r="N1852" s="5"/>
      <c r="O1852" s="5"/>
      <c r="P1852" s="5"/>
      <c r="Q1852" s="5"/>
    </row>
    <row r="1853" spans="8:17" x14ac:dyDescent="0.2">
      <c r="H1853" s="5"/>
      <c r="J1853" s="5"/>
      <c r="K1853" s="5"/>
      <c r="L1853" s="5"/>
      <c r="M1853" s="5"/>
      <c r="N1853" s="5"/>
      <c r="O1853" s="5"/>
      <c r="P1853" s="5"/>
      <c r="Q1853" s="5"/>
    </row>
    <row r="1854" spans="8:17" x14ac:dyDescent="0.2">
      <c r="H1854" s="5"/>
      <c r="J1854" s="5"/>
      <c r="K1854" s="5"/>
      <c r="L1854" s="5"/>
      <c r="M1854" s="5"/>
      <c r="N1854" s="5"/>
      <c r="O1854" s="5"/>
      <c r="P1854" s="5"/>
      <c r="Q1854" s="5"/>
    </row>
    <row r="1855" spans="8:17" x14ac:dyDescent="0.2">
      <c r="H1855" s="5"/>
      <c r="J1855" s="5"/>
      <c r="K1855" s="5"/>
      <c r="L1855" s="5"/>
      <c r="M1855" s="5"/>
      <c r="N1855" s="5"/>
      <c r="O1855" s="5"/>
      <c r="P1855" s="5"/>
      <c r="Q1855" s="5"/>
    </row>
    <row r="1856" spans="8:17" x14ac:dyDescent="0.2">
      <c r="H1856" s="5"/>
      <c r="J1856" s="5"/>
      <c r="K1856" s="5"/>
      <c r="L1856" s="5"/>
      <c r="M1856" s="5"/>
      <c r="N1856" s="5"/>
      <c r="O1856" s="5"/>
      <c r="P1856" s="5"/>
      <c r="Q1856" s="5"/>
    </row>
    <row r="1857" spans="8:17" x14ac:dyDescent="0.2">
      <c r="H1857" s="5"/>
      <c r="J1857" s="5"/>
      <c r="K1857" s="5"/>
      <c r="L1857" s="5"/>
      <c r="M1857" s="5"/>
      <c r="N1857" s="5"/>
      <c r="O1857" s="5"/>
      <c r="P1857" s="5"/>
      <c r="Q1857" s="5"/>
    </row>
    <row r="1858" spans="8:17" x14ac:dyDescent="0.2">
      <c r="H1858" s="5"/>
      <c r="J1858" s="5"/>
      <c r="K1858" s="5"/>
      <c r="L1858" s="5"/>
      <c r="M1858" s="5"/>
      <c r="N1858" s="5"/>
      <c r="O1858" s="5"/>
      <c r="P1858" s="5"/>
      <c r="Q1858" s="5"/>
    </row>
    <row r="1859" spans="8:17" x14ac:dyDescent="0.2">
      <c r="H1859" s="5"/>
      <c r="J1859" s="5"/>
      <c r="K1859" s="5"/>
      <c r="L1859" s="5"/>
      <c r="M1859" s="5"/>
      <c r="N1859" s="5"/>
      <c r="O1859" s="5"/>
      <c r="P1859" s="5"/>
      <c r="Q1859" s="5"/>
    </row>
    <row r="1860" spans="8:17" x14ac:dyDescent="0.2">
      <c r="H1860" s="5"/>
      <c r="J1860" s="5"/>
      <c r="K1860" s="5"/>
      <c r="L1860" s="5"/>
      <c r="M1860" s="5"/>
      <c r="N1860" s="5"/>
      <c r="O1860" s="5"/>
      <c r="P1860" s="5"/>
      <c r="Q1860" s="5"/>
    </row>
    <row r="1861" spans="8:17" x14ac:dyDescent="0.2">
      <c r="H1861" s="5"/>
      <c r="J1861" s="5"/>
      <c r="K1861" s="5"/>
      <c r="L1861" s="5"/>
      <c r="M1861" s="5"/>
      <c r="N1861" s="5"/>
      <c r="O1861" s="5"/>
      <c r="P1861" s="5"/>
      <c r="Q1861" s="5"/>
    </row>
    <row r="1862" spans="8:17" x14ac:dyDescent="0.2">
      <c r="H1862" s="5"/>
      <c r="J1862" s="5"/>
      <c r="K1862" s="5"/>
      <c r="L1862" s="5"/>
      <c r="M1862" s="5"/>
      <c r="N1862" s="5"/>
      <c r="O1862" s="5"/>
      <c r="P1862" s="5"/>
      <c r="Q1862" s="5"/>
    </row>
    <row r="1863" spans="8:17" x14ac:dyDescent="0.2">
      <c r="H1863" s="5"/>
      <c r="J1863" s="5"/>
      <c r="K1863" s="5"/>
      <c r="L1863" s="5"/>
      <c r="M1863" s="5"/>
      <c r="N1863" s="5"/>
      <c r="O1863" s="5"/>
      <c r="P1863" s="5"/>
      <c r="Q1863" s="5"/>
    </row>
    <row r="1864" spans="8:17" x14ac:dyDescent="0.2">
      <c r="H1864" s="5"/>
      <c r="J1864" s="5"/>
      <c r="K1864" s="5"/>
      <c r="L1864" s="5"/>
      <c r="M1864" s="5"/>
      <c r="N1864" s="5"/>
      <c r="O1864" s="5"/>
      <c r="P1864" s="5"/>
      <c r="Q1864" s="5"/>
    </row>
    <row r="1865" spans="8:17" x14ac:dyDescent="0.2">
      <c r="H1865" s="5"/>
      <c r="J1865" s="5"/>
      <c r="K1865" s="5"/>
      <c r="L1865" s="5"/>
      <c r="M1865" s="5"/>
      <c r="N1865" s="5"/>
      <c r="O1865" s="5"/>
      <c r="P1865" s="5"/>
      <c r="Q1865" s="5"/>
    </row>
    <row r="1866" spans="8:17" x14ac:dyDescent="0.2">
      <c r="H1866" s="5"/>
      <c r="J1866" s="5"/>
      <c r="K1866" s="5"/>
      <c r="L1866" s="5"/>
      <c r="M1866" s="5"/>
      <c r="N1866" s="5"/>
      <c r="O1866" s="5"/>
      <c r="P1866" s="5"/>
      <c r="Q1866" s="5"/>
    </row>
    <row r="1867" spans="8:17" x14ac:dyDescent="0.2">
      <c r="H1867" s="5"/>
      <c r="J1867" s="5"/>
      <c r="K1867" s="5"/>
      <c r="L1867" s="5"/>
      <c r="M1867" s="5"/>
      <c r="N1867" s="5"/>
      <c r="O1867" s="5"/>
      <c r="P1867" s="5"/>
      <c r="Q1867" s="5"/>
    </row>
    <row r="1868" spans="8:17" x14ac:dyDescent="0.2">
      <c r="H1868" s="5"/>
      <c r="J1868" s="5"/>
      <c r="K1868" s="5"/>
      <c r="L1868" s="5"/>
      <c r="M1868" s="5"/>
      <c r="N1868" s="5"/>
      <c r="O1868" s="5"/>
      <c r="P1868" s="5"/>
      <c r="Q1868" s="5"/>
    </row>
    <row r="1869" spans="8:17" x14ac:dyDescent="0.2">
      <c r="H1869" s="5"/>
      <c r="J1869" s="5"/>
      <c r="K1869" s="5"/>
      <c r="L1869" s="5"/>
      <c r="M1869" s="5"/>
      <c r="N1869" s="5"/>
      <c r="O1869" s="5"/>
      <c r="P1869" s="5"/>
      <c r="Q1869" s="5"/>
    </row>
    <row r="1870" spans="8:17" x14ac:dyDescent="0.2">
      <c r="H1870" s="5"/>
      <c r="J1870" s="5"/>
      <c r="K1870" s="5"/>
      <c r="L1870" s="5"/>
      <c r="M1870" s="5"/>
      <c r="N1870" s="5"/>
      <c r="O1870" s="5"/>
      <c r="P1870" s="5"/>
      <c r="Q1870" s="5"/>
    </row>
    <row r="1871" spans="8:17" x14ac:dyDescent="0.2">
      <c r="H1871" s="5"/>
      <c r="J1871" s="5"/>
      <c r="K1871" s="5"/>
      <c r="L1871" s="5"/>
      <c r="M1871" s="5"/>
      <c r="N1871" s="5"/>
      <c r="O1871" s="5"/>
      <c r="P1871" s="5"/>
      <c r="Q1871" s="5"/>
    </row>
    <row r="1872" spans="8:17" x14ac:dyDescent="0.2">
      <c r="H1872" s="5"/>
      <c r="J1872" s="5"/>
      <c r="K1872" s="5"/>
      <c r="L1872" s="5"/>
      <c r="M1872" s="5"/>
      <c r="N1872" s="5"/>
      <c r="O1872" s="5"/>
      <c r="P1872" s="5"/>
      <c r="Q1872" s="5"/>
    </row>
    <row r="1873" spans="8:17" x14ac:dyDescent="0.2">
      <c r="H1873" s="5"/>
      <c r="J1873" s="5"/>
      <c r="K1873" s="5"/>
      <c r="L1873" s="5"/>
      <c r="M1873" s="5"/>
      <c r="N1873" s="5"/>
      <c r="O1873" s="5"/>
      <c r="P1873" s="5"/>
      <c r="Q1873" s="5"/>
    </row>
    <row r="1874" spans="8:17" x14ac:dyDescent="0.2">
      <c r="H1874" s="5"/>
      <c r="J1874" s="5"/>
      <c r="K1874" s="5"/>
      <c r="L1874" s="5"/>
      <c r="M1874" s="5"/>
      <c r="N1874" s="5"/>
      <c r="O1874" s="5"/>
      <c r="P1874" s="5"/>
      <c r="Q1874" s="5"/>
    </row>
    <row r="1875" spans="8:17" x14ac:dyDescent="0.2">
      <c r="H1875" s="5"/>
      <c r="J1875" s="5"/>
      <c r="K1875" s="5"/>
      <c r="L1875" s="5"/>
      <c r="M1875" s="5"/>
      <c r="N1875" s="5"/>
      <c r="O1875" s="5"/>
      <c r="P1875" s="5"/>
      <c r="Q1875" s="5"/>
    </row>
    <row r="1876" spans="8:17" x14ac:dyDescent="0.2">
      <c r="H1876" s="5"/>
      <c r="J1876" s="5"/>
      <c r="K1876" s="5"/>
      <c r="L1876" s="5"/>
      <c r="M1876" s="5"/>
      <c r="N1876" s="5"/>
      <c r="O1876" s="5"/>
      <c r="P1876" s="5"/>
      <c r="Q1876" s="5"/>
    </row>
    <row r="1877" spans="8:17" x14ac:dyDescent="0.2">
      <c r="H1877" s="5"/>
      <c r="J1877" s="5"/>
      <c r="K1877" s="5"/>
      <c r="L1877" s="5"/>
      <c r="M1877" s="5"/>
      <c r="N1877" s="5"/>
      <c r="O1877" s="5"/>
      <c r="P1877" s="5"/>
      <c r="Q1877" s="5"/>
    </row>
    <row r="1878" spans="8:17" x14ac:dyDescent="0.2">
      <c r="H1878" s="5"/>
      <c r="J1878" s="5"/>
      <c r="K1878" s="5"/>
      <c r="L1878" s="5"/>
      <c r="M1878" s="5"/>
      <c r="N1878" s="5"/>
      <c r="O1878" s="5"/>
      <c r="P1878" s="5"/>
      <c r="Q1878" s="5"/>
    </row>
    <row r="1879" spans="8:17" x14ac:dyDescent="0.2">
      <c r="H1879" s="5"/>
      <c r="J1879" s="5"/>
      <c r="K1879" s="5"/>
      <c r="L1879" s="5"/>
      <c r="M1879" s="5"/>
      <c r="N1879" s="5"/>
      <c r="O1879" s="5"/>
      <c r="P1879" s="5"/>
      <c r="Q1879" s="5"/>
    </row>
    <row r="1880" spans="8:17" x14ac:dyDescent="0.2">
      <c r="H1880" s="5"/>
      <c r="J1880" s="5"/>
      <c r="K1880" s="5"/>
      <c r="L1880" s="5"/>
      <c r="M1880" s="5"/>
      <c r="N1880" s="5"/>
      <c r="O1880" s="5"/>
      <c r="P1880" s="5"/>
      <c r="Q1880" s="5"/>
    </row>
    <row r="1881" spans="8:17" x14ac:dyDescent="0.2">
      <c r="H1881" s="5"/>
      <c r="J1881" s="5"/>
      <c r="K1881" s="5"/>
      <c r="L1881" s="5"/>
      <c r="M1881" s="5"/>
      <c r="N1881" s="5"/>
      <c r="O1881" s="5"/>
      <c r="P1881" s="5"/>
      <c r="Q1881" s="5"/>
    </row>
    <row r="1882" spans="8:17" x14ac:dyDescent="0.2">
      <c r="H1882" s="5"/>
      <c r="J1882" s="5"/>
      <c r="K1882" s="5"/>
      <c r="L1882" s="5"/>
      <c r="M1882" s="5"/>
      <c r="N1882" s="5"/>
      <c r="O1882" s="5"/>
      <c r="P1882" s="5"/>
      <c r="Q1882" s="5"/>
    </row>
    <row r="1883" spans="8:17" x14ac:dyDescent="0.2">
      <c r="H1883" s="5"/>
      <c r="J1883" s="5"/>
      <c r="K1883" s="5"/>
      <c r="L1883" s="5"/>
      <c r="M1883" s="5"/>
      <c r="N1883" s="5"/>
      <c r="O1883" s="5"/>
      <c r="P1883" s="5"/>
      <c r="Q1883" s="5"/>
    </row>
    <row r="1884" spans="8:17" x14ac:dyDescent="0.2">
      <c r="H1884" s="5"/>
      <c r="J1884" s="5"/>
      <c r="K1884" s="5"/>
      <c r="L1884" s="5"/>
      <c r="M1884" s="5"/>
      <c r="N1884" s="5"/>
      <c r="O1884" s="5"/>
      <c r="P1884" s="5"/>
      <c r="Q1884" s="5"/>
    </row>
    <row r="1885" spans="8:17" x14ac:dyDescent="0.2">
      <c r="H1885" s="5"/>
      <c r="J1885" s="5"/>
      <c r="K1885" s="5"/>
      <c r="L1885" s="5"/>
      <c r="M1885" s="5"/>
      <c r="N1885" s="5"/>
      <c r="O1885" s="5"/>
      <c r="P1885" s="5"/>
      <c r="Q1885" s="5"/>
    </row>
    <row r="1886" spans="8:17" x14ac:dyDescent="0.2">
      <c r="H1886" s="5"/>
      <c r="J1886" s="5"/>
      <c r="K1886" s="5"/>
      <c r="L1886" s="5"/>
      <c r="M1886" s="5"/>
      <c r="N1886" s="5"/>
      <c r="O1886" s="5"/>
      <c r="P1886" s="5"/>
      <c r="Q1886" s="5"/>
    </row>
    <row r="1887" spans="8:17" x14ac:dyDescent="0.2">
      <c r="H1887" s="5"/>
      <c r="J1887" s="5"/>
      <c r="K1887" s="5"/>
      <c r="L1887" s="5"/>
      <c r="M1887" s="5"/>
      <c r="N1887" s="5"/>
      <c r="O1887" s="5"/>
      <c r="P1887" s="5"/>
      <c r="Q1887" s="5"/>
    </row>
    <row r="1888" spans="8:17" x14ac:dyDescent="0.2">
      <c r="H1888" s="5"/>
      <c r="J1888" s="5"/>
      <c r="K1888" s="5"/>
      <c r="L1888" s="5"/>
      <c r="M1888" s="5"/>
      <c r="N1888" s="5"/>
      <c r="O1888" s="5"/>
      <c r="P1888" s="5"/>
      <c r="Q1888" s="5"/>
    </row>
    <row r="1889" spans="8:17" x14ac:dyDescent="0.2">
      <c r="H1889" s="5"/>
      <c r="J1889" s="5"/>
      <c r="K1889" s="5"/>
      <c r="L1889" s="5"/>
      <c r="M1889" s="5"/>
      <c r="N1889" s="5"/>
      <c r="O1889" s="5"/>
      <c r="P1889" s="5"/>
      <c r="Q1889" s="5"/>
    </row>
    <row r="1890" spans="8:17" x14ac:dyDescent="0.2">
      <c r="H1890" s="5"/>
      <c r="J1890" s="5"/>
      <c r="K1890" s="5"/>
      <c r="L1890" s="5"/>
      <c r="M1890" s="5"/>
      <c r="N1890" s="5"/>
      <c r="O1890" s="5"/>
      <c r="P1890" s="5"/>
      <c r="Q1890" s="5"/>
    </row>
    <row r="1891" spans="8:17" x14ac:dyDescent="0.2">
      <c r="H1891" s="5"/>
      <c r="J1891" s="5"/>
      <c r="K1891" s="5"/>
      <c r="L1891" s="5"/>
      <c r="M1891" s="5"/>
      <c r="N1891" s="5"/>
      <c r="O1891" s="5"/>
      <c r="P1891" s="5"/>
      <c r="Q1891" s="5"/>
    </row>
    <row r="1892" spans="8:17" x14ac:dyDescent="0.2">
      <c r="H1892" s="5"/>
      <c r="J1892" s="5"/>
      <c r="K1892" s="5"/>
      <c r="L1892" s="5"/>
      <c r="M1892" s="5"/>
      <c r="N1892" s="5"/>
      <c r="O1892" s="5"/>
      <c r="P1892" s="5"/>
      <c r="Q1892" s="5"/>
    </row>
    <row r="1893" spans="8:17" x14ac:dyDescent="0.2">
      <c r="H1893" s="5"/>
      <c r="J1893" s="5"/>
      <c r="K1893" s="5"/>
      <c r="L1893" s="5"/>
      <c r="M1893" s="5"/>
      <c r="N1893" s="5"/>
      <c r="O1893" s="5"/>
      <c r="P1893" s="5"/>
      <c r="Q1893" s="5"/>
    </row>
    <row r="1894" spans="8:17" x14ac:dyDescent="0.2">
      <c r="H1894" s="5"/>
      <c r="J1894" s="5"/>
      <c r="K1894" s="5"/>
      <c r="L1894" s="5"/>
      <c r="M1894" s="5"/>
      <c r="N1894" s="5"/>
      <c r="O1894" s="5"/>
      <c r="P1894" s="5"/>
      <c r="Q1894" s="5"/>
    </row>
    <row r="1895" spans="8:17" x14ac:dyDescent="0.2">
      <c r="H1895" s="5"/>
      <c r="J1895" s="5"/>
      <c r="K1895" s="5"/>
      <c r="L1895" s="5"/>
      <c r="M1895" s="5"/>
      <c r="N1895" s="5"/>
      <c r="O1895" s="5"/>
      <c r="P1895" s="5"/>
      <c r="Q1895" s="5"/>
    </row>
    <row r="1896" spans="8:17" x14ac:dyDescent="0.2">
      <c r="H1896" s="5"/>
      <c r="J1896" s="5"/>
      <c r="K1896" s="5"/>
      <c r="L1896" s="5"/>
      <c r="M1896" s="5"/>
      <c r="N1896" s="5"/>
      <c r="O1896" s="5"/>
      <c r="P1896" s="5"/>
      <c r="Q1896" s="5"/>
    </row>
    <row r="1897" spans="8:17" x14ac:dyDescent="0.2">
      <c r="H1897" s="5"/>
      <c r="J1897" s="5"/>
      <c r="K1897" s="5"/>
      <c r="L1897" s="5"/>
      <c r="M1897" s="5"/>
      <c r="N1897" s="5"/>
      <c r="O1897" s="5"/>
      <c r="P1897" s="5"/>
      <c r="Q1897" s="5"/>
    </row>
    <row r="1898" spans="8:17" x14ac:dyDescent="0.2">
      <c r="H1898" s="5"/>
      <c r="J1898" s="5"/>
      <c r="K1898" s="5"/>
      <c r="L1898" s="5"/>
      <c r="M1898" s="5"/>
      <c r="N1898" s="5"/>
      <c r="O1898" s="5"/>
      <c r="P1898" s="5"/>
      <c r="Q1898" s="5"/>
    </row>
    <row r="1899" spans="8:17" x14ac:dyDescent="0.2">
      <c r="H1899" s="5"/>
      <c r="J1899" s="5"/>
      <c r="K1899" s="5"/>
      <c r="L1899" s="5"/>
      <c r="M1899" s="5"/>
      <c r="N1899" s="5"/>
      <c r="O1899" s="5"/>
      <c r="P1899" s="5"/>
      <c r="Q1899" s="5"/>
    </row>
    <row r="1900" spans="8:17" x14ac:dyDescent="0.2">
      <c r="H1900" s="5"/>
      <c r="J1900" s="5"/>
      <c r="K1900" s="5"/>
      <c r="L1900" s="5"/>
      <c r="M1900" s="5"/>
      <c r="N1900" s="5"/>
      <c r="O1900" s="5"/>
      <c r="P1900" s="5"/>
      <c r="Q1900" s="5"/>
    </row>
    <row r="1901" spans="8:17" x14ac:dyDescent="0.2">
      <c r="H1901" s="5"/>
      <c r="J1901" s="5"/>
      <c r="K1901" s="5"/>
      <c r="L1901" s="5"/>
      <c r="M1901" s="5"/>
      <c r="N1901" s="5"/>
      <c r="O1901" s="5"/>
      <c r="P1901" s="5"/>
      <c r="Q1901" s="5"/>
    </row>
    <row r="1902" spans="8:17" x14ac:dyDescent="0.2">
      <c r="H1902" s="5"/>
      <c r="J1902" s="5"/>
      <c r="K1902" s="5"/>
      <c r="L1902" s="5"/>
      <c r="M1902" s="5"/>
      <c r="N1902" s="5"/>
      <c r="O1902" s="5"/>
      <c r="P1902" s="5"/>
      <c r="Q1902" s="5"/>
    </row>
    <row r="1903" spans="8:17" x14ac:dyDescent="0.2">
      <c r="H1903" s="5"/>
      <c r="J1903" s="5"/>
      <c r="K1903" s="5"/>
      <c r="L1903" s="5"/>
      <c r="M1903" s="5"/>
      <c r="N1903" s="5"/>
      <c r="O1903" s="5"/>
      <c r="P1903" s="5"/>
      <c r="Q1903" s="5"/>
    </row>
    <row r="1904" spans="8:17" x14ac:dyDescent="0.2">
      <c r="H1904" s="5"/>
      <c r="J1904" s="5"/>
      <c r="K1904" s="5"/>
      <c r="L1904" s="5"/>
      <c r="M1904" s="5"/>
      <c r="N1904" s="5"/>
      <c r="O1904" s="5"/>
      <c r="P1904" s="5"/>
      <c r="Q1904" s="5"/>
    </row>
    <row r="1905" spans="8:17" x14ac:dyDescent="0.2">
      <c r="H1905" s="5"/>
      <c r="J1905" s="5"/>
      <c r="K1905" s="5"/>
      <c r="L1905" s="5"/>
      <c r="M1905" s="5"/>
      <c r="N1905" s="5"/>
      <c r="O1905" s="5"/>
      <c r="P1905" s="5"/>
      <c r="Q1905" s="5"/>
    </row>
    <row r="1906" spans="8:17" x14ac:dyDescent="0.2">
      <c r="H1906" s="5"/>
      <c r="J1906" s="5"/>
      <c r="K1906" s="5"/>
      <c r="L1906" s="5"/>
      <c r="M1906" s="5"/>
      <c r="N1906" s="5"/>
      <c r="O1906" s="5"/>
      <c r="P1906" s="5"/>
      <c r="Q1906" s="5"/>
    </row>
    <row r="1907" spans="8:17" x14ac:dyDescent="0.2">
      <c r="H1907" s="5"/>
      <c r="J1907" s="5"/>
      <c r="K1907" s="5"/>
      <c r="L1907" s="5"/>
      <c r="M1907" s="5"/>
      <c r="N1907" s="5"/>
      <c r="O1907" s="5"/>
      <c r="P1907" s="5"/>
      <c r="Q1907" s="5"/>
    </row>
    <row r="1908" spans="8:17" x14ac:dyDescent="0.2">
      <c r="H1908" s="5"/>
      <c r="J1908" s="5"/>
      <c r="K1908" s="5"/>
      <c r="L1908" s="5"/>
      <c r="M1908" s="5"/>
      <c r="N1908" s="5"/>
      <c r="O1908" s="5"/>
      <c r="P1908" s="5"/>
      <c r="Q1908" s="5"/>
    </row>
    <row r="1909" spans="8:17" x14ac:dyDescent="0.2">
      <c r="H1909" s="5"/>
      <c r="J1909" s="5"/>
      <c r="K1909" s="5"/>
      <c r="L1909" s="5"/>
      <c r="M1909" s="5"/>
      <c r="N1909" s="5"/>
      <c r="O1909" s="5"/>
      <c r="P1909" s="5"/>
      <c r="Q1909" s="5"/>
    </row>
    <row r="1910" spans="8:17" x14ac:dyDescent="0.2">
      <c r="H1910" s="5"/>
      <c r="J1910" s="5"/>
      <c r="K1910" s="5"/>
      <c r="L1910" s="5"/>
      <c r="M1910" s="5"/>
      <c r="N1910" s="5"/>
      <c r="O1910" s="5"/>
      <c r="P1910" s="5"/>
      <c r="Q1910" s="5"/>
    </row>
    <row r="1911" spans="8:17" x14ac:dyDescent="0.2">
      <c r="H1911" s="5"/>
      <c r="J1911" s="5"/>
      <c r="K1911" s="5"/>
      <c r="L1911" s="5"/>
      <c r="M1911" s="5"/>
      <c r="N1911" s="5"/>
      <c r="O1911" s="5"/>
      <c r="P1911" s="5"/>
      <c r="Q1911" s="5"/>
    </row>
    <row r="1912" spans="8:17" x14ac:dyDescent="0.2">
      <c r="H1912" s="5"/>
      <c r="J1912" s="5"/>
      <c r="K1912" s="5"/>
      <c r="L1912" s="5"/>
      <c r="M1912" s="5"/>
      <c r="N1912" s="5"/>
      <c r="O1912" s="5"/>
      <c r="P1912" s="5"/>
      <c r="Q1912" s="5"/>
    </row>
    <row r="1913" spans="8:17" x14ac:dyDescent="0.2">
      <c r="H1913" s="5"/>
      <c r="J1913" s="5"/>
      <c r="K1913" s="5"/>
      <c r="L1913" s="5"/>
      <c r="M1913" s="5"/>
      <c r="N1913" s="5"/>
      <c r="O1913" s="5"/>
      <c r="P1913" s="5"/>
      <c r="Q1913" s="5"/>
    </row>
    <row r="1914" spans="8:17" x14ac:dyDescent="0.2">
      <c r="H1914" s="5"/>
      <c r="J1914" s="5"/>
      <c r="K1914" s="5"/>
      <c r="L1914" s="5"/>
      <c r="M1914" s="5"/>
      <c r="N1914" s="5"/>
      <c r="O1914" s="5"/>
      <c r="P1914" s="5"/>
      <c r="Q1914" s="5"/>
    </row>
    <row r="1915" spans="8:17" x14ac:dyDescent="0.2">
      <c r="H1915" s="5"/>
      <c r="J1915" s="5"/>
      <c r="K1915" s="5"/>
      <c r="L1915" s="5"/>
      <c r="M1915" s="5"/>
      <c r="N1915" s="5"/>
      <c r="O1915" s="5"/>
      <c r="P1915" s="5"/>
      <c r="Q1915" s="5"/>
    </row>
    <row r="1916" spans="8:17" x14ac:dyDescent="0.2">
      <c r="H1916" s="5"/>
      <c r="J1916" s="5"/>
      <c r="K1916" s="5"/>
      <c r="L1916" s="5"/>
      <c r="M1916" s="5"/>
      <c r="N1916" s="5"/>
      <c r="O1916" s="5"/>
      <c r="P1916" s="5"/>
      <c r="Q1916" s="5"/>
    </row>
    <row r="1917" spans="8:17" x14ac:dyDescent="0.2">
      <c r="H1917" s="5"/>
      <c r="J1917" s="5"/>
      <c r="K1917" s="5"/>
      <c r="L1917" s="5"/>
      <c r="M1917" s="5"/>
      <c r="N1917" s="5"/>
      <c r="O1917" s="5"/>
      <c r="P1917" s="5"/>
      <c r="Q1917" s="5"/>
    </row>
    <row r="1918" spans="8:17" x14ac:dyDescent="0.2">
      <c r="H1918" s="5"/>
      <c r="J1918" s="5"/>
      <c r="K1918" s="5"/>
      <c r="L1918" s="5"/>
      <c r="M1918" s="5"/>
      <c r="N1918" s="5"/>
      <c r="O1918" s="5"/>
      <c r="P1918" s="5"/>
      <c r="Q1918" s="5"/>
    </row>
    <row r="1919" spans="8:17" x14ac:dyDescent="0.2">
      <c r="H1919" s="5"/>
      <c r="J1919" s="5"/>
      <c r="K1919" s="5"/>
      <c r="L1919" s="5"/>
      <c r="M1919" s="5"/>
      <c r="N1919" s="5"/>
      <c r="O1919" s="5"/>
      <c r="P1919" s="5"/>
      <c r="Q1919" s="5"/>
    </row>
    <row r="1920" spans="8:17" x14ac:dyDescent="0.2">
      <c r="H1920" s="5"/>
      <c r="J1920" s="5"/>
      <c r="K1920" s="5"/>
      <c r="L1920" s="5"/>
      <c r="M1920" s="5"/>
      <c r="N1920" s="5"/>
      <c r="O1920" s="5"/>
      <c r="P1920" s="5"/>
      <c r="Q1920" s="5"/>
    </row>
    <row r="1921" spans="8:17" x14ac:dyDescent="0.2">
      <c r="H1921" s="5"/>
      <c r="J1921" s="5"/>
      <c r="K1921" s="5"/>
      <c r="L1921" s="5"/>
      <c r="M1921" s="5"/>
      <c r="N1921" s="5"/>
      <c r="O1921" s="5"/>
      <c r="P1921" s="5"/>
      <c r="Q1921" s="5"/>
    </row>
    <row r="1922" spans="8:17" x14ac:dyDescent="0.2">
      <c r="H1922" s="5"/>
      <c r="J1922" s="5"/>
      <c r="K1922" s="5"/>
      <c r="L1922" s="5"/>
      <c r="M1922" s="5"/>
      <c r="N1922" s="5"/>
      <c r="O1922" s="5"/>
      <c r="P1922" s="5"/>
      <c r="Q1922" s="5"/>
    </row>
    <row r="1923" spans="8:17" x14ac:dyDescent="0.2">
      <c r="H1923" s="5"/>
      <c r="J1923" s="5"/>
      <c r="K1923" s="5"/>
      <c r="L1923" s="5"/>
      <c r="M1923" s="5"/>
      <c r="N1923" s="5"/>
      <c r="O1923" s="5"/>
      <c r="P1923" s="5"/>
      <c r="Q1923" s="5"/>
    </row>
    <row r="1924" spans="8:17" x14ac:dyDescent="0.2">
      <c r="H1924" s="5"/>
      <c r="J1924" s="5"/>
      <c r="K1924" s="5"/>
      <c r="L1924" s="5"/>
      <c r="M1924" s="5"/>
      <c r="N1924" s="5"/>
      <c r="O1924" s="5"/>
      <c r="P1924" s="5"/>
      <c r="Q1924" s="5"/>
    </row>
    <row r="1925" spans="8:17" x14ac:dyDescent="0.2">
      <c r="H1925" s="5"/>
      <c r="J1925" s="5"/>
      <c r="K1925" s="5"/>
      <c r="L1925" s="5"/>
      <c r="M1925" s="5"/>
      <c r="N1925" s="5"/>
      <c r="O1925" s="5"/>
      <c r="P1925" s="5"/>
      <c r="Q1925" s="5"/>
    </row>
    <row r="1926" spans="8:17" x14ac:dyDescent="0.2">
      <c r="H1926" s="5"/>
      <c r="J1926" s="5"/>
      <c r="K1926" s="5"/>
      <c r="L1926" s="5"/>
      <c r="M1926" s="5"/>
      <c r="N1926" s="5"/>
      <c r="O1926" s="5"/>
      <c r="P1926" s="5"/>
      <c r="Q1926" s="5"/>
    </row>
    <row r="1927" spans="8:17" x14ac:dyDescent="0.2">
      <c r="H1927" s="5"/>
      <c r="J1927" s="5"/>
      <c r="K1927" s="5"/>
      <c r="L1927" s="5"/>
      <c r="M1927" s="5"/>
      <c r="N1927" s="5"/>
      <c r="O1927" s="5"/>
      <c r="P1927" s="5"/>
      <c r="Q1927" s="5"/>
    </row>
    <row r="1928" spans="8:17" x14ac:dyDescent="0.2">
      <c r="H1928" s="5"/>
      <c r="J1928" s="5"/>
      <c r="K1928" s="5"/>
      <c r="L1928" s="5"/>
      <c r="M1928" s="5"/>
      <c r="N1928" s="5"/>
      <c r="O1928" s="5"/>
      <c r="P1928" s="5"/>
      <c r="Q1928" s="5"/>
    </row>
    <row r="1929" spans="8:17" x14ac:dyDescent="0.2">
      <c r="H1929" s="5"/>
      <c r="J1929" s="5"/>
      <c r="K1929" s="5"/>
      <c r="L1929" s="5"/>
      <c r="M1929" s="5"/>
      <c r="N1929" s="5"/>
      <c r="O1929" s="5"/>
      <c r="P1929" s="5"/>
      <c r="Q1929" s="5"/>
    </row>
    <row r="1930" spans="8:17" x14ac:dyDescent="0.2">
      <c r="H1930" s="5"/>
      <c r="J1930" s="5"/>
      <c r="K1930" s="5"/>
      <c r="L1930" s="5"/>
      <c r="M1930" s="5"/>
      <c r="N1930" s="5"/>
      <c r="O1930" s="5"/>
      <c r="P1930" s="5"/>
      <c r="Q1930" s="5"/>
    </row>
    <row r="1931" spans="8:17" x14ac:dyDescent="0.2">
      <c r="H1931" s="5"/>
      <c r="J1931" s="5"/>
      <c r="K1931" s="5"/>
      <c r="L1931" s="5"/>
      <c r="M1931" s="5"/>
      <c r="N1931" s="5"/>
      <c r="O1931" s="5"/>
      <c r="P1931" s="5"/>
      <c r="Q1931" s="5"/>
    </row>
    <row r="1932" spans="8:17" x14ac:dyDescent="0.2">
      <c r="H1932" s="5"/>
      <c r="J1932" s="5"/>
      <c r="K1932" s="5"/>
      <c r="L1932" s="5"/>
      <c r="M1932" s="5"/>
      <c r="N1932" s="5"/>
      <c r="O1932" s="5"/>
      <c r="P1932" s="5"/>
      <c r="Q1932" s="5"/>
    </row>
    <row r="1933" spans="8:17" x14ac:dyDescent="0.2">
      <c r="H1933" s="5"/>
      <c r="J1933" s="5"/>
      <c r="K1933" s="5"/>
      <c r="L1933" s="5"/>
      <c r="M1933" s="5"/>
      <c r="N1933" s="5"/>
      <c r="O1933" s="5"/>
      <c r="P1933" s="5"/>
      <c r="Q1933" s="5"/>
    </row>
    <row r="1934" spans="8:17" x14ac:dyDescent="0.2">
      <c r="H1934" s="5"/>
      <c r="J1934" s="5"/>
      <c r="K1934" s="5"/>
      <c r="L1934" s="5"/>
      <c r="M1934" s="5"/>
      <c r="N1934" s="5"/>
      <c r="O1934" s="5"/>
      <c r="P1934" s="5"/>
      <c r="Q1934" s="5"/>
    </row>
    <row r="1935" spans="8:17" x14ac:dyDescent="0.2">
      <c r="H1935" s="5"/>
      <c r="J1935" s="5"/>
      <c r="K1935" s="5"/>
      <c r="L1935" s="5"/>
      <c r="M1935" s="5"/>
      <c r="N1935" s="5"/>
      <c r="O1935" s="5"/>
      <c r="P1935" s="5"/>
      <c r="Q1935" s="5"/>
    </row>
    <row r="1936" spans="8:17" x14ac:dyDescent="0.2">
      <c r="H1936" s="5"/>
      <c r="J1936" s="5"/>
      <c r="K1936" s="5"/>
      <c r="L1936" s="5"/>
      <c r="M1936" s="5"/>
      <c r="N1936" s="5"/>
      <c r="O1936" s="5"/>
      <c r="P1936" s="5"/>
      <c r="Q1936" s="5"/>
    </row>
    <row r="1937" spans="8:17" x14ac:dyDescent="0.2">
      <c r="H1937" s="5"/>
      <c r="J1937" s="5"/>
      <c r="K1937" s="5"/>
      <c r="L1937" s="5"/>
      <c r="M1937" s="5"/>
      <c r="N1937" s="5"/>
      <c r="O1937" s="5"/>
      <c r="P1937" s="5"/>
      <c r="Q1937" s="5"/>
    </row>
    <row r="1938" spans="8:17" x14ac:dyDescent="0.2">
      <c r="H1938" s="5"/>
      <c r="J1938" s="5"/>
      <c r="K1938" s="5"/>
      <c r="L1938" s="5"/>
      <c r="M1938" s="5"/>
      <c r="N1938" s="5"/>
      <c r="O1938" s="5"/>
      <c r="P1938" s="5"/>
      <c r="Q1938" s="5"/>
    </row>
    <row r="1939" spans="8:17" x14ac:dyDescent="0.2">
      <c r="H1939" s="5"/>
      <c r="J1939" s="5"/>
      <c r="K1939" s="5"/>
      <c r="L1939" s="5"/>
      <c r="M1939" s="5"/>
      <c r="N1939" s="5"/>
      <c r="O1939" s="5"/>
      <c r="P1939" s="5"/>
      <c r="Q1939" s="5"/>
    </row>
    <row r="1940" spans="8:17" x14ac:dyDescent="0.2">
      <c r="H1940" s="5"/>
      <c r="J1940" s="5"/>
      <c r="K1940" s="5"/>
      <c r="L1940" s="5"/>
      <c r="M1940" s="5"/>
      <c r="N1940" s="5"/>
      <c r="O1940" s="5"/>
      <c r="P1940" s="5"/>
      <c r="Q1940" s="5"/>
    </row>
    <row r="1941" spans="8:17" x14ac:dyDescent="0.2">
      <c r="H1941" s="5"/>
      <c r="J1941" s="5"/>
      <c r="K1941" s="5"/>
      <c r="L1941" s="5"/>
      <c r="M1941" s="5"/>
      <c r="N1941" s="5"/>
      <c r="O1941" s="5"/>
      <c r="P1941" s="5"/>
      <c r="Q1941" s="5"/>
    </row>
    <row r="1942" spans="8:17" x14ac:dyDescent="0.2">
      <c r="H1942" s="5"/>
      <c r="J1942" s="5"/>
      <c r="K1942" s="5"/>
      <c r="L1942" s="5"/>
      <c r="M1942" s="5"/>
      <c r="N1942" s="5"/>
      <c r="O1942" s="5"/>
      <c r="P1942" s="5"/>
      <c r="Q1942" s="5"/>
    </row>
    <row r="1943" spans="8:17" x14ac:dyDescent="0.2">
      <c r="H1943" s="5"/>
      <c r="J1943" s="5"/>
      <c r="K1943" s="5"/>
      <c r="L1943" s="5"/>
      <c r="M1943" s="5"/>
      <c r="N1943" s="5"/>
      <c r="O1943" s="5"/>
      <c r="P1943" s="5"/>
      <c r="Q1943" s="5"/>
    </row>
    <row r="1944" spans="8:17" x14ac:dyDescent="0.2">
      <c r="H1944" s="5"/>
      <c r="J1944" s="5"/>
      <c r="K1944" s="5"/>
      <c r="L1944" s="5"/>
      <c r="M1944" s="5"/>
      <c r="N1944" s="5"/>
      <c r="O1944" s="5"/>
      <c r="P1944" s="5"/>
      <c r="Q1944" s="5"/>
    </row>
    <row r="1945" spans="8:17" x14ac:dyDescent="0.2">
      <c r="H1945" s="5"/>
      <c r="J1945" s="5"/>
      <c r="K1945" s="5"/>
      <c r="L1945" s="5"/>
      <c r="M1945" s="5"/>
      <c r="N1945" s="5"/>
      <c r="O1945" s="5"/>
      <c r="P1945" s="5"/>
      <c r="Q1945" s="5"/>
    </row>
    <row r="1946" spans="8:17" x14ac:dyDescent="0.2">
      <c r="H1946" s="5"/>
      <c r="J1946" s="5"/>
      <c r="K1946" s="5"/>
      <c r="L1946" s="5"/>
      <c r="M1946" s="5"/>
      <c r="N1946" s="5"/>
      <c r="O1946" s="5"/>
      <c r="P1946" s="5"/>
      <c r="Q1946" s="5"/>
    </row>
    <row r="1947" spans="8:17" x14ac:dyDescent="0.2">
      <c r="H1947" s="5"/>
      <c r="J1947" s="5"/>
      <c r="K1947" s="5"/>
      <c r="L1947" s="5"/>
      <c r="M1947" s="5"/>
      <c r="N1947" s="5"/>
      <c r="O1947" s="5"/>
      <c r="P1947" s="5"/>
      <c r="Q1947" s="5"/>
    </row>
    <row r="1948" spans="8:17" x14ac:dyDescent="0.2">
      <c r="H1948" s="5"/>
      <c r="J1948" s="5"/>
      <c r="K1948" s="5"/>
      <c r="L1948" s="5"/>
      <c r="M1948" s="5"/>
      <c r="N1948" s="5"/>
      <c r="O1948" s="5"/>
      <c r="P1948" s="5"/>
      <c r="Q1948" s="5"/>
    </row>
    <row r="1949" spans="8:17" x14ac:dyDescent="0.2">
      <c r="H1949" s="5"/>
      <c r="J1949" s="5"/>
      <c r="K1949" s="5"/>
      <c r="L1949" s="5"/>
      <c r="M1949" s="5"/>
      <c r="N1949" s="5"/>
      <c r="O1949" s="5"/>
      <c r="P1949" s="5"/>
      <c r="Q1949" s="5"/>
    </row>
    <row r="1950" spans="8:17" x14ac:dyDescent="0.2">
      <c r="H1950" s="5"/>
      <c r="J1950" s="5"/>
      <c r="K1950" s="5"/>
      <c r="L1950" s="5"/>
      <c r="M1950" s="5"/>
      <c r="N1950" s="5"/>
      <c r="O1950" s="5"/>
      <c r="P1950" s="5"/>
      <c r="Q1950" s="5"/>
    </row>
    <row r="1951" spans="8:17" x14ac:dyDescent="0.2">
      <c r="H1951" s="5"/>
      <c r="J1951" s="5"/>
      <c r="K1951" s="5"/>
      <c r="L1951" s="5"/>
      <c r="M1951" s="5"/>
      <c r="N1951" s="5"/>
      <c r="O1951" s="5"/>
      <c r="P1951" s="5"/>
      <c r="Q1951" s="5"/>
    </row>
    <row r="1952" spans="8:17" x14ac:dyDescent="0.2">
      <c r="H1952" s="5"/>
      <c r="J1952" s="5"/>
      <c r="K1952" s="5"/>
      <c r="L1952" s="5"/>
      <c r="M1952" s="5"/>
      <c r="N1952" s="5"/>
      <c r="O1952" s="5"/>
      <c r="P1952" s="5"/>
      <c r="Q1952" s="5"/>
    </row>
    <row r="1953" spans="8:17" x14ac:dyDescent="0.2">
      <c r="H1953" s="5"/>
      <c r="J1953" s="5"/>
      <c r="K1953" s="5"/>
      <c r="L1953" s="5"/>
      <c r="M1953" s="5"/>
      <c r="N1953" s="5"/>
      <c r="O1953" s="5"/>
      <c r="P1953" s="5"/>
      <c r="Q1953" s="5"/>
    </row>
    <row r="1954" spans="8:17" x14ac:dyDescent="0.2">
      <c r="H1954" s="5"/>
      <c r="J1954" s="5"/>
      <c r="K1954" s="5"/>
      <c r="L1954" s="5"/>
      <c r="M1954" s="5"/>
      <c r="N1954" s="5"/>
      <c r="O1954" s="5"/>
      <c r="P1954" s="5"/>
      <c r="Q1954" s="5"/>
    </row>
    <row r="1955" spans="8:17" x14ac:dyDescent="0.2">
      <c r="H1955" s="5"/>
      <c r="J1955" s="5"/>
      <c r="K1955" s="5"/>
      <c r="L1955" s="5"/>
      <c r="M1955" s="5"/>
      <c r="N1955" s="5"/>
      <c r="O1955" s="5"/>
      <c r="P1955" s="5"/>
      <c r="Q1955" s="5"/>
    </row>
    <row r="1956" spans="8:17" x14ac:dyDescent="0.2">
      <c r="H1956" s="5"/>
      <c r="J1956" s="5"/>
      <c r="K1956" s="5"/>
      <c r="L1956" s="5"/>
      <c r="M1956" s="5"/>
      <c r="N1956" s="5"/>
      <c r="O1956" s="5"/>
      <c r="P1956" s="5"/>
      <c r="Q1956" s="5"/>
    </row>
    <row r="1957" spans="8:17" x14ac:dyDescent="0.2">
      <c r="H1957" s="5"/>
      <c r="J1957" s="5"/>
      <c r="K1957" s="5"/>
      <c r="L1957" s="5"/>
      <c r="M1957" s="5"/>
      <c r="N1957" s="5"/>
      <c r="O1957" s="5"/>
      <c r="P1957" s="5"/>
      <c r="Q1957" s="5"/>
    </row>
    <row r="1958" spans="8:17" x14ac:dyDescent="0.2">
      <c r="H1958" s="5"/>
      <c r="J1958" s="5"/>
      <c r="K1958" s="5"/>
      <c r="L1958" s="5"/>
      <c r="M1958" s="5"/>
      <c r="N1958" s="5"/>
      <c r="O1958" s="5"/>
      <c r="P1958" s="5"/>
      <c r="Q1958" s="5"/>
    </row>
    <row r="1959" spans="8:17" x14ac:dyDescent="0.2">
      <c r="H1959" s="5"/>
      <c r="J1959" s="5"/>
      <c r="K1959" s="5"/>
      <c r="L1959" s="5"/>
      <c r="M1959" s="5"/>
      <c r="N1959" s="5"/>
      <c r="O1959" s="5"/>
      <c r="P1959" s="5"/>
      <c r="Q1959" s="5"/>
    </row>
    <row r="1960" spans="8:17" x14ac:dyDescent="0.2">
      <c r="H1960" s="5"/>
      <c r="J1960" s="5"/>
      <c r="K1960" s="5"/>
      <c r="L1960" s="5"/>
      <c r="M1960" s="5"/>
      <c r="N1960" s="5"/>
      <c r="O1960" s="5"/>
      <c r="P1960" s="5"/>
      <c r="Q1960" s="5"/>
    </row>
    <row r="1961" spans="8:17" x14ac:dyDescent="0.2">
      <c r="H1961" s="5"/>
      <c r="J1961" s="5"/>
      <c r="K1961" s="5"/>
      <c r="L1961" s="5"/>
      <c r="M1961" s="5"/>
      <c r="N1961" s="5"/>
      <c r="O1961" s="5"/>
      <c r="P1961" s="5"/>
      <c r="Q1961" s="5"/>
    </row>
    <row r="1962" spans="8:17" x14ac:dyDescent="0.2">
      <c r="H1962" s="5"/>
      <c r="J1962" s="5"/>
      <c r="K1962" s="5"/>
      <c r="L1962" s="5"/>
      <c r="M1962" s="5"/>
      <c r="N1962" s="5"/>
      <c r="O1962" s="5"/>
      <c r="P1962" s="5"/>
      <c r="Q1962" s="5"/>
    </row>
    <row r="1963" spans="8:17" x14ac:dyDescent="0.2">
      <c r="H1963" s="5"/>
      <c r="J1963" s="5"/>
      <c r="K1963" s="5"/>
      <c r="L1963" s="5"/>
      <c r="M1963" s="5"/>
      <c r="N1963" s="5"/>
      <c r="O1963" s="5"/>
      <c r="P1963" s="5"/>
      <c r="Q1963" s="5"/>
    </row>
    <row r="1964" spans="8:17" x14ac:dyDescent="0.2">
      <c r="H1964" s="5"/>
      <c r="J1964" s="5"/>
      <c r="K1964" s="5"/>
      <c r="L1964" s="5"/>
      <c r="M1964" s="5"/>
      <c r="N1964" s="5"/>
      <c r="O1964" s="5"/>
      <c r="P1964" s="5"/>
      <c r="Q1964" s="5"/>
    </row>
    <row r="1965" spans="8:17" x14ac:dyDescent="0.2">
      <c r="H1965" s="5"/>
      <c r="J1965" s="5"/>
      <c r="K1965" s="5"/>
      <c r="L1965" s="5"/>
      <c r="M1965" s="5"/>
      <c r="N1965" s="5"/>
      <c r="O1965" s="5"/>
      <c r="P1965" s="5"/>
      <c r="Q1965" s="5"/>
    </row>
    <row r="1966" spans="8:17" x14ac:dyDescent="0.2">
      <c r="H1966" s="5"/>
      <c r="J1966" s="5"/>
      <c r="K1966" s="5"/>
      <c r="L1966" s="5"/>
      <c r="M1966" s="5"/>
      <c r="N1966" s="5"/>
      <c r="O1966" s="5"/>
      <c r="P1966" s="5"/>
      <c r="Q1966" s="5"/>
    </row>
    <row r="1967" spans="8:17" x14ac:dyDescent="0.2">
      <c r="H1967" s="5"/>
      <c r="J1967" s="5"/>
      <c r="K1967" s="5"/>
      <c r="L1967" s="5"/>
      <c r="M1967" s="5"/>
      <c r="N1967" s="5"/>
      <c r="O1967" s="5"/>
      <c r="P1967" s="5"/>
      <c r="Q1967" s="5"/>
    </row>
    <row r="1968" spans="8:17" x14ac:dyDescent="0.2">
      <c r="H1968" s="5"/>
      <c r="J1968" s="5"/>
      <c r="K1968" s="5"/>
      <c r="L1968" s="5"/>
      <c r="M1968" s="5"/>
      <c r="N1968" s="5"/>
      <c r="O1968" s="5"/>
      <c r="P1968" s="5"/>
      <c r="Q1968" s="5"/>
    </row>
    <row r="1969" spans="8:17" x14ac:dyDescent="0.2">
      <c r="H1969" s="5"/>
      <c r="J1969" s="5"/>
      <c r="K1969" s="5"/>
      <c r="L1969" s="5"/>
      <c r="M1969" s="5"/>
      <c r="N1969" s="5"/>
      <c r="O1969" s="5"/>
      <c r="P1969" s="5"/>
      <c r="Q1969" s="5"/>
    </row>
    <row r="1970" spans="8:17" x14ac:dyDescent="0.2">
      <c r="H1970" s="5"/>
      <c r="J1970" s="5"/>
      <c r="K1970" s="5"/>
      <c r="L1970" s="5"/>
      <c r="M1970" s="5"/>
      <c r="N1970" s="5"/>
      <c r="O1970" s="5"/>
      <c r="P1970" s="5"/>
      <c r="Q1970" s="5"/>
    </row>
    <row r="1971" spans="8:17" x14ac:dyDescent="0.2">
      <c r="H1971" s="5"/>
      <c r="J1971" s="5"/>
      <c r="K1971" s="5"/>
      <c r="L1971" s="5"/>
      <c r="M1971" s="5"/>
      <c r="N1971" s="5"/>
      <c r="O1971" s="5"/>
      <c r="P1971" s="5"/>
      <c r="Q1971" s="5"/>
    </row>
    <row r="1972" spans="8:17" x14ac:dyDescent="0.2">
      <c r="H1972" s="5"/>
      <c r="J1972" s="5"/>
      <c r="K1972" s="5"/>
      <c r="L1972" s="5"/>
      <c r="M1972" s="5"/>
      <c r="N1972" s="5"/>
      <c r="O1972" s="5"/>
      <c r="P1972" s="5"/>
      <c r="Q1972" s="5"/>
    </row>
    <row r="1973" spans="8:17" x14ac:dyDescent="0.2">
      <c r="H1973" s="5"/>
      <c r="J1973" s="5"/>
      <c r="K1973" s="5"/>
      <c r="L1973" s="5"/>
      <c r="M1973" s="5"/>
      <c r="N1973" s="5"/>
      <c r="O1973" s="5"/>
      <c r="P1973" s="5"/>
      <c r="Q1973" s="5"/>
    </row>
    <row r="1974" spans="8:17" x14ac:dyDescent="0.2">
      <c r="H1974" s="5"/>
      <c r="J1974" s="5"/>
      <c r="K1974" s="5"/>
      <c r="L1974" s="5"/>
      <c r="M1974" s="5"/>
      <c r="N1974" s="5"/>
      <c r="O1974" s="5"/>
      <c r="P1974" s="5"/>
      <c r="Q1974" s="5"/>
    </row>
    <row r="1975" spans="8:17" x14ac:dyDescent="0.2">
      <c r="H1975" s="5"/>
      <c r="J1975" s="5"/>
      <c r="K1975" s="5"/>
      <c r="L1975" s="5"/>
      <c r="M1975" s="5"/>
      <c r="N1975" s="5"/>
      <c r="O1975" s="5"/>
      <c r="P1975" s="5"/>
      <c r="Q1975" s="5"/>
    </row>
    <row r="1976" spans="8:17" x14ac:dyDescent="0.2">
      <c r="H1976" s="5"/>
      <c r="J1976" s="5"/>
      <c r="K1976" s="5"/>
      <c r="L1976" s="5"/>
      <c r="M1976" s="5"/>
      <c r="N1976" s="5"/>
      <c r="O1976" s="5"/>
      <c r="P1976" s="5"/>
      <c r="Q1976" s="5"/>
    </row>
    <row r="1977" spans="8:17" x14ac:dyDescent="0.2">
      <c r="H1977" s="5"/>
      <c r="J1977" s="5"/>
      <c r="K1977" s="5"/>
      <c r="L1977" s="5"/>
      <c r="M1977" s="5"/>
      <c r="N1977" s="5"/>
      <c r="O1977" s="5"/>
      <c r="P1977" s="5"/>
      <c r="Q1977" s="5"/>
    </row>
    <row r="1978" spans="8:17" x14ac:dyDescent="0.2">
      <c r="H1978" s="5"/>
      <c r="J1978" s="5"/>
      <c r="K1978" s="5"/>
      <c r="L1978" s="5"/>
      <c r="M1978" s="5"/>
      <c r="N1978" s="5"/>
      <c r="O1978" s="5"/>
      <c r="P1978" s="5"/>
      <c r="Q1978" s="5"/>
    </row>
    <row r="1979" spans="8:17" x14ac:dyDescent="0.2">
      <c r="H1979" s="5"/>
      <c r="J1979" s="5"/>
      <c r="K1979" s="5"/>
      <c r="L1979" s="5"/>
      <c r="M1979" s="5"/>
      <c r="N1979" s="5"/>
      <c r="O1979" s="5"/>
      <c r="P1979" s="5"/>
      <c r="Q1979" s="5"/>
    </row>
    <row r="1980" spans="8:17" x14ac:dyDescent="0.2">
      <c r="H1980" s="5"/>
      <c r="J1980" s="5"/>
      <c r="K1980" s="5"/>
      <c r="L1980" s="5"/>
      <c r="M1980" s="5"/>
      <c r="N1980" s="5"/>
      <c r="O1980" s="5"/>
      <c r="P1980" s="5"/>
      <c r="Q1980" s="5"/>
    </row>
    <row r="1981" spans="8:17" x14ac:dyDescent="0.2">
      <c r="H1981" s="5"/>
      <c r="J1981" s="5"/>
      <c r="K1981" s="5"/>
      <c r="L1981" s="5"/>
      <c r="M1981" s="5"/>
      <c r="N1981" s="5"/>
      <c r="O1981" s="5"/>
      <c r="P1981" s="5"/>
      <c r="Q1981" s="5"/>
    </row>
    <row r="1982" spans="8:17" x14ac:dyDescent="0.2">
      <c r="H1982" s="5"/>
      <c r="J1982" s="5"/>
      <c r="K1982" s="5"/>
      <c r="L1982" s="5"/>
      <c r="M1982" s="5"/>
      <c r="N1982" s="5"/>
      <c r="O1982" s="5"/>
      <c r="P1982" s="5"/>
      <c r="Q1982" s="5"/>
    </row>
    <row r="1983" spans="8:17" x14ac:dyDescent="0.2">
      <c r="H1983" s="5"/>
      <c r="J1983" s="5"/>
      <c r="K1983" s="5"/>
      <c r="L1983" s="5"/>
      <c r="M1983" s="5"/>
      <c r="N1983" s="5"/>
      <c r="O1983" s="5"/>
      <c r="P1983" s="5"/>
      <c r="Q1983" s="5"/>
    </row>
    <row r="1984" spans="8:17" x14ac:dyDescent="0.2">
      <c r="H1984" s="5"/>
      <c r="J1984" s="5"/>
      <c r="K1984" s="5"/>
      <c r="L1984" s="5"/>
      <c r="M1984" s="5"/>
      <c r="N1984" s="5"/>
      <c r="O1984" s="5"/>
      <c r="P1984" s="5"/>
      <c r="Q1984" s="5"/>
    </row>
    <row r="1985" spans="8:17" x14ac:dyDescent="0.2">
      <c r="H1985" s="5"/>
      <c r="J1985" s="5"/>
      <c r="K1985" s="5"/>
      <c r="L1985" s="5"/>
      <c r="M1985" s="5"/>
      <c r="N1985" s="5"/>
      <c r="O1985" s="5"/>
      <c r="P1985" s="5"/>
      <c r="Q1985" s="5"/>
    </row>
    <row r="1986" spans="8:17" x14ac:dyDescent="0.2">
      <c r="H1986" s="5"/>
      <c r="J1986" s="5"/>
      <c r="K1986" s="5"/>
      <c r="L1986" s="5"/>
      <c r="M1986" s="5"/>
      <c r="N1986" s="5"/>
      <c r="O1986" s="5"/>
      <c r="P1986" s="5"/>
      <c r="Q1986" s="5"/>
    </row>
    <row r="1987" spans="8:17" x14ac:dyDescent="0.2">
      <c r="H1987" s="5"/>
      <c r="J1987" s="5"/>
      <c r="K1987" s="5"/>
      <c r="L1987" s="5"/>
      <c r="M1987" s="5"/>
      <c r="N1987" s="5"/>
      <c r="O1987" s="5"/>
      <c r="P1987" s="5"/>
      <c r="Q1987" s="5"/>
    </row>
    <row r="1988" spans="8:17" x14ac:dyDescent="0.2">
      <c r="H1988" s="5"/>
      <c r="J1988" s="5"/>
      <c r="K1988" s="5"/>
      <c r="L1988" s="5"/>
      <c r="M1988" s="5"/>
      <c r="N1988" s="5"/>
      <c r="O1988" s="5"/>
      <c r="P1988" s="5"/>
      <c r="Q1988" s="5"/>
    </row>
    <row r="1989" spans="8:17" x14ac:dyDescent="0.2">
      <c r="H1989" s="5"/>
      <c r="J1989" s="5"/>
      <c r="K1989" s="5"/>
      <c r="L1989" s="5"/>
      <c r="M1989" s="5"/>
      <c r="N1989" s="5"/>
      <c r="O1989" s="5"/>
      <c r="P1989" s="5"/>
      <c r="Q1989" s="5"/>
    </row>
    <row r="1990" spans="8:17" x14ac:dyDescent="0.2">
      <c r="H1990" s="5"/>
      <c r="J1990" s="5"/>
      <c r="K1990" s="5"/>
      <c r="L1990" s="5"/>
      <c r="M1990" s="5"/>
      <c r="N1990" s="5"/>
      <c r="O1990" s="5"/>
      <c r="P1990" s="5"/>
      <c r="Q1990" s="5"/>
    </row>
    <row r="1991" spans="8:17" x14ac:dyDescent="0.2">
      <c r="H1991" s="5"/>
      <c r="J1991" s="5"/>
      <c r="K1991" s="5"/>
      <c r="L1991" s="5"/>
      <c r="M1991" s="5"/>
      <c r="N1991" s="5"/>
      <c r="O1991" s="5"/>
      <c r="P1991" s="5"/>
      <c r="Q1991" s="5"/>
    </row>
    <row r="1992" spans="8:17" x14ac:dyDescent="0.2">
      <c r="H1992" s="5"/>
      <c r="J1992" s="5"/>
      <c r="K1992" s="5"/>
      <c r="L1992" s="5"/>
      <c r="M1992" s="5"/>
      <c r="N1992" s="5"/>
      <c r="O1992" s="5"/>
      <c r="P1992" s="5"/>
      <c r="Q1992" s="5"/>
    </row>
    <row r="1993" spans="8:17" x14ac:dyDescent="0.2">
      <c r="H1993" s="5"/>
      <c r="J1993" s="5"/>
      <c r="K1993" s="5"/>
      <c r="L1993" s="5"/>
      <c r="M1993" s="5"/>
      <c r="N1993" s="5"/>
      <c r="O1993" s="5"/>
      <c r="P1993" s="5"/>
      <c r="Q1993" s="5"/>
    </row>
    <row r="1994" spans="8:17" x14ac:dyDescent="0.2">
      <c r="H1994" s="5"/>
      <c r="J1994" s="5"/>
      <c r="K1994" s="5"/>
      <c r="L1994" s="5"/>
      <c r="M1994" s="5"/>
      <c r="N1994" s="5"/>
      <c r="O1994" s="5"/>
      <c r="P1994" s="5"/>
      <c r="Q1994" s="5"/>
    </row>
    <row r="1995" spans="8:17" x14ac:dyDescent="0.2">
      <c r="H1995" s="5"/>
      <c r="J1995" s="5"/>
      <c r="K1995" s="5"/>
      <c r="L1995" s="5"/>
      <c r="M1995" s="5"/>
      <c r="N1995" s="5"/>
      <c r="O1995" s="5"/>
      <c r="P1995" s="5"/>
      <c r="Q1995" s="5"/>
    </row>
    <row r="1996" spans="8:17" x14ac:dyDescent="0.2">
      <c r="H1996" s="5"/>
      <c r="J1996" s="5"/>
      <c r="K1996" s="5"/>
      <c r="L1996" s="5"/>
      <c r="M1996" s="5"/>
      <c r="N1996" s="5"/>
      <c r="O1996" s="5"/>
      <c r="P1996" s="5"/>
      <c r="Q1996" s="5"/>
    </row>
    <row r="1997" spans="8:17" x14ac:dyDescent="0.2">
      <c r="H1997" s="5"/>
      <c r="J1997" s="5"/>
      <c r="K1997" s="5"/>
      <c r="L1997" s="5"/>
      <c r="M1997" s="5"/>
      <c r="N1997" s="5"/>
      <c r="O1997" s="5"/>
      <c r="P1997" s="5"/>
      <c r="Q1997" s="5"/>
    </row>
    <row r="1998" spans="8:17" x14ac:dyDescent="0.2">
      <c r="H1998" s="5"/>
      <c r="J1998" s="5"/>
      <c r="K1998" s="5"/>
      <c r="L1998" s="5"/>
      <c r="M1998" s="5"/>
      <c r="N1998" s="5"/>
      <c r="O1998" s="5"/>
      <c r="P1998" s="5"/>
      <c r="Q1998" s="5"/>
    </row>
    <row r="1999" spans="8:17" x14ac:dyDescent="0.2">
      <c r="H1999" s="5"/>
      <c r="J1999" s="5"/>
      <c r="K1999" s="5"/>
      <c r="L1999" s="5"/>
      <c r="M1999" s="5"/>
      <c r="N1999" s="5"/>
      <c r="O1999" s="5"/>
      <c r="P1999" s="5"/>
      <c r="Q1999" s="5"/>
    </row>
    <row r="2000" spans="8:17" x14ac:dyDescent="0.2">
      <c r="H2000" s="5"/>
      <c r="J2000" s="5"/>
      <c r="K2000" s="5"/>
      <c r="L2000" s="5"/>
      <c r="M2000" s="5"/>
      <c r="N2000" s="5"/>
      <c r="O2000" s="5"/>
      <c r="P2000" s="5"/>
      <c r="Q2000" s="5"/>
    </row>
    <row r="2001" spans="8:17" x14ac:dyDescent="0.2">
      <c r="H2001" s="5"/>
      <c r="J2001" s="5"/>
      <c r="K2001" s="5"/>
      <c r="L2001" s="5"/>
      <c r="M2001" s="5"/>
      <c r="N2001" s="5"/>
      <c r="O2001" s="5"/>
      <c r="P2001" s="5"/>
      <c r="Q2001" s="5"/>
    </row>
    <row r="2002" spans="8:17" x14ac:dyDescent="0.2">
      <c r="H2002" s="5"/>
      <c r="J2002" s="5"/>
      <c r="K2002" s="5"/>
      <c r="L2002" s="5"/>
      <c r="M2002" s="5"/>
      <c r="N2002" s="5"/>
      <c r="O2002" s="5"/>
      <c r="P2002" s="5"/>
      <c r="Q2002" s="5"/>
    </row>
    <row r="2003" spans="8:17" x14ac:dyDescent="0.2">
      <c r="H2003" s="5"/>
      <c r="J2003" s="5"/>
      <c r="K2003" s="5"/>
      <c r="L2003" s="5"/>
      <c r="M2003" s="5"/>
      <c r="N2003" s="5"/>
      <c r="O2003" s="5"/>
      <c r="P2003" s="5"/>
      <c r="Q2003" s="5"/>
    </row>
    <row r="2004" spans="8:17" x14ac:dyDescent="0.2">
      <c r="H2004" s="5"/>
      <c r="J2004" s="5"/>
      <c r="K2004" s="5"/>
      <c r="L2004" s="5"/>
      <c r="M2004" s="5"/>
      <c r="N2004" s="5"/>
      <c r="O2004" s="5"/>
      <c r="P2004" s="5"/>
      <c r="Q2004" s="5"/>
    </row>
    <row r="2005" spans="8:17" x14ac:dyDescent="0.2">
      <c r="H2005" s="5"/>
      <c r="J2005" s="5"/>
      <c r="K2005" s="5"/>
      <c r="L2005" s="5"/>
      <c r="M2005" s="5"/>
      <c r="N2005" s="5"/>
      <c r="O2005" s="5"/>
      <c r="P2005" s="5"/>
      <c r="Q2005" s="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FB84-A538-4DA8-A272-BE21D4BE95B5}">
  <dimension ref="A1:Y2005"/>
  <sheetViews>
    <sheetView topLeftCell="A71" workbookViewId="0">
      <selection activeCell="C108" sqref="C108:S108"/>
    </sheetView>
  </sheetViews>
  <sheetFormatPr defaultRowHeight="12.75" x14ac:dyDescent="0.2"/>
  <cols>
    <col min="8" max="8" width="9.140625" style="29"/>
    <col min="14" max="19" width="9.5703125" customWidth="1"/>
  </cols>
  <sheetData>
    <row r="1" spans="1:2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 s="29">
        <v>8</v>
      </c>
      <c r="I1">
        <v>9</v>
      </c>
      <c r="N1" s="13" t="s">
        <v>115</v>
      </c>
      <c r="O1" s="13" t="s">
        <v>116</v>
      </c>
      <c r="P1" s="13" t="s">
        <v>117</v>
      </c>
      <c r="Q1" s="13" t="s">
        <v>118</v>
      </c>
      <c r="R1" s="13" t="s">
        <v>119</v>
      </c>
      <c r="S1" s="13" t="s">
        <v>120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</row>
    <row r="2" spans="1:25" ht="76.5" x14ac:dyDescent="0.2">
      <c r="A2" s="25" t="s">
        <v>137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2" t="s">
        <v>140</v>
      </c>
      <c r="I2" s="3" t="s">
        <v>141</v>
      </c>
      <c r="J2" s="3" t="s">
        <v>142</v>
      </c>
      <c r="K2" s="3" t="s">
        <v>143</v>
      </c>
      <c r="M2" s="26" t="s">
        <v>139</v>
      </c>
      <c r="N2" s="3" t="s">
        <v>121</v>
      </c>
      <c r="O2" s="3" t="s">
        <v>122</v>
      </c>
      <c r="P2" s="3" t="s">
        <v>123</v>
      </c>
      <c r="Q2" s="3" t="s">
        <v>124</v>
      </c>
      <c r="R2" s="3" t="s">
        <v>125</v>
      </c>
      <c r="S2" s="3" t="s">
        <v>126</v>
      </c>
      <c r="T2" s="3" t="s">
        <v>144</v>
      </c>
      <c r="U2" s="3" t="s">
        <v>145</v>
      </c>
      <c r="V2" s="3" t="s">
        <v>146</v>
      </c>
      <c r="W2" s="3" t="s">
        <v>147</v>
      </c>
      <c r="X2" s="3" t="s">
        <v>148</v>
      </c>
      <c r="Y2" s="3" t="s">
        <v>149</v>
      </c>
    </row>
    <row r="3" spans="1:25" x14ac:dyDescent="0.2">
      <c r="B3" t="s">
        <v>6</v>
      </c>
    </row>
    <row r="4" spans="1:25" x14ac:dyDescent="0.2">
      <c r="B4" t="s">
        <v>7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I4" t="s">
        <v>9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</row>
    <row r="9" spans="1:25" x14ac:dyDescent="0.2">
      <c r="A9">
        <v>2026</v>
      </c>
      <c r="C9" t="e">
        <f>HLOOKUP(C2,#REF!,6,FALSE)</f>
        <v>#REF!</v>
      </c>
      <c r="D9">
        <v>-0.17499999999999999</v>
      </c>
      <c r="E9">
        <v>-0.36899999999999999</v>
      </c>
      <c r="F9">
        <v>-0.17699999999999999</v>
      </c>
      <c r="G9">
        <v>-0.189</v>
      </c>
      <c r="H9" s="29">
        <v>-0.426548734538511</v>
      </c>
      <c r="I9">
        <v>-0.315</v>
      </c>
      <c r="J9">
        <v>-0.78191876399719695</v>
      </c>
      <c r="K9">
        <v>0.14670952165453599</v>
      </c>
      <c r="N9">
        <v>-7.4999999999999997E-2</v>
      </c>
      <c r="O9">
        <v>0.182</v>
      </c>
      <c r="P9">
        <v>-0.27200000000000002</v>
      </c>
      <c r="Q9">
        <v>0.49199999999999999</v>
      </c>
      <c r="R9">
        <v>-0.15</v>
      </c>
      <c r="S9">
        <v>0.36199999999999999</v>
      </c>
    </row>
    <row r="10" spans="1:25" x14ac:dyDescent="0.2">
      <c r="A10">
        <f>A9+0.25</f>
        <v>2026.25</v>
      </c>
      <c r="C10">
        <v>-7.4999999999999997E-2</v>
      </c>
      <c r="D10">
        <v>-0.20100000000000001</v>
      </c>
      <c r="E10">
        <v>-0.376</v>
      </c>
      <c r="F10">
        <v>-0.122</v>
      </c>
      <c r="G10">
        <v>-0.22</v>
      </c>
      <c r="H10" s="29">
        <v>-0.44013753485013501</v>
      </c>
      <c r="I10">
        <v>-0.33200000000000002</v>
      </c>
      <c r="J10">
        <v>-0.85200773420798903</v>
      </c>
      <c r="K10">
        <v>0.184759692556732</v>
      </c>
      <c r="N10">
        <v>4.5999999999999999E-2</v>
      </c>
      <c r="O10">
        <v>9.2999999999999999E-2</v>
      </c>
      <c r="P10">
        <v>-0.158</v>
      </c>
      <c r="Q10">
        <v>0.372</v>
      </c>
      <c r="R10">
        <v>-3.4000000000000002E-2</v>
      </c>
      <c r="S10">
        <v>0.25900000000000001</v>
      </c>
    </row>
    <row r="11" spans="1:25" x14ac:dyDescent="0.2">
      <c r="A11">
        <f t="shared" ref="A11:A74" si="0">A10+0.25</f>
        <v>2026.5</v>
      </c>
      <c r="C11">
        <v>-0.02</v>
      </c>
      <c r="D11">
        <v>-0.224</v>
      </c>
      <c r="E11">
        <v>-0.36399999999999999</v>
      </c>
      <c r="F11">
        <v>-6.7000000000000004E-2</v>
      </c>
      <c r="G11">
        <v>-0.248</v>
      </c>
      <c r="H11" s="29">
        <v>-0.43523671626073002</v>
      </c>
      <c r="I11">
        <v>-0.33600000000000002</v>
      </c>
      <c r="J11">
        <v>-0.90709674767631399</v>
      </c>
      <c r="K11">
        <v>0.236514890344559</v>
      </c>
      <c r="N11">
        <v>0.16500000000000001</v>
      </c>
      <c r="O11">
        <v>1.4E-2</v>
      </c>
      <c r="P11">
        <v>-0.04</v>
      </c>
      <c r="Q11">
        <v>0.26</v>
      </c>
      <c r="R11">
        <v>8.3000000000000004E-2</v>
      </c>
      <c r="S11">
        <v>0.16500000000000001</v>
      </c>
    </row>
    <row r="12" spans="1:25" x14ac:dyDescent="0.2">
      <c r="A12">
        <f t="shared" si="0"/>
        <v>2026.75</v>
      </c>
      <c r="C12">
        <v>3.4000000000000002E-2</v>
      </c>
      <c r="D12">
        <v>-0.24299999999999999</v>
      </c>
      <c r="E12">
        <v>-0.33700000000000002</v>
      </c>
      <c r="F12">
        <v>-1.4E-2</v>
      </c>
      <c r="G12">
        <v>-0.27300000000000002</v>
      </c>
      <c r="H12" s="29">
        <v>-0.41487158963141002</v>
      </c>
      <c r="I12">
        <v>-0.32800000000000001</v>
      </c>
      <c r="J12">
        <v>-0.94757748281744303</v>
      </c>
      <c r="K12">
        <v>0.29705412753190902</v>
      </c>
      <c r="N12">
        <v>0.28199999999999997</v>
      </c>
      <c r="O12">
        <v>-5.3999999999999999E-2</v>
      </c>
      <c r="P12">
        <v>7.8E-2</v>
      </c>
      <c r="Q12">
        <v>0.157</v>
      </c>
      <c r="R12">
        <v>0.19900000000000001</v>
      </c>
      <c r="S12">
        <v>8.1000000000000003E-2</v>
      </c>
    </row>
    <row r="13" spans="1:25" x14ac:dyDescent="0.2">
      <c r="A13">
        <f t="shared" si="0"/>
        <v>2027</v>
      </c>
      <c r="C13">
        <v>8.6999999999999994E-2</v>
      </c>
      <c r="D13">
        <v>-0.25900000000000001</v>
      </c>
      <c r="E13">
        <v>-0.29799999999999999</v>
      </c>
      <c r="F13">
        <v>3.9E-2</v>
      </c>
      <c r="G13">
        <v>-0.29499999999999998</v>
      </c>
      <c r="H13" s="29">
        <v>-0.38216390681475598</v>
      </c>
      <c r="I13">
        <v>-0.312</v>
      </c>
      <c r="J13">
        <v>-0.97509750253449901</v>
      </c>
      <c r="K13">
        <v>0.36350619221417202</v>
      </c>
      <c r="N13">
        <v>0.39600000000000002</v>
      </c>
      <c r="O13">
        <v>-0.11</v>
      </c>
      <c r="P13">
        <v>0.19700000000000001</v>
      </c>
      <c r="Q13">
        <v>6.6000000000000003E-2</v>
      </c>
      <c r="R13">
        <v>0.313</v>
      </c>
      <c r="S13">
        <v>0.01</v>
      </c>
    </row>
    <row r="14" spans="1:25" x14ac:dyDescent="0.2">
      <c r="A14">
        <f t="shared" si="0"/>
        <v>2027.25</v>
      </c>
      <c r="C14">
        <v>0.13800000000000001</v>
      </c>
      <c r="D14">
        <v>-0.27200000000000002</v>
      </c>
      <c r="E14">
        <v>-0.25</v>
      </c>
      <c r="F14">
        <v>0.09</v>
      </c>
      <c r="G14">
        <v>-0.313</v>
      </c>
      <c r="H14" s="29">
        <v>-0.339798073068798</v>
      </c>
      <c r="I14">
        <v>-0.28699999999999998</v>
      </c>
      <c r="J14">
        <v>-0.99201142913644103</v>
      </c>
      <c r="K14">
        <v>0.43460706812301297</v>
      </c>
      <c r="N14">
        <v>0.50600000000000001</v>
      </c>
      <c r="O14">
        <v>-0.155</v>
      </c>
      <c r="P14">
        <v>0.316</v>
      </c>
      <c r="Q14">
        <v>-1.4E-2</v>
      </c>
      <c r="R14">
        <v>0.42499999999999999</v>
      </c>
      <c r="S14">
        <v>-5.0999999999999997E-2</v>
      </c>
    </row>
    <row r="15" spans="1:25" x14ac:dyDescent="0.2">
      <c r="A15">
        <f t="shared" si="0"/>
        <v>2027.5</v>
      </c>
      <c r="C15">
        <v>0.188</v>
      </c>
      <c r="D15">
        <v>-0.28100000000000003</v>
      </c>
      <c r="E15">
        <v>-0.19600000000000001</v>
      </c>
      <c r="F15">
        <v>0.14099999999999999</v>
      </c>
      <c r="G15">
        <v>-0.32700000000000001</v>
      </c>
      <c r="H15" s="29">
        <v>-0.28995539323424901</v>
      </c>
      <c r="I15">
        <v>-0.25700000000000001</v>
      </c>
      <c r="J15">
        <v>-0.99986602655842005</v>
      </c>
      <c r="K15">
        <v>0.50888040513669996</v>
      </c>
      <c r="N15">
        <v>0.61199999999999999</v>
      </c>
      <c r="O15">
        <v>-0.189</v>
      </c>
      <c r="P15">
        <v>0.436</v>
      </c>
      <c r="Q15">
        <v>-8.3000000000000004E-2</v>
      </c>
      <c r="R15">
        <v>0.53400000000000003</v>
      </c>
      <c r="S15">
        <v>-0.10100000000000001</v>
      </c>
    </row>
    <row r="16" spans="1:25" x14ac:dyDescent="0.2">
      <c r="A16">
        <f t="shared" si="0"/>
        <v>2027.75</v>
      </c>
      <c r="C16">
        <v>0.23599999999999999</v>
      </c>
      <c r="D16">
        <v>-0.28699999999999998</v>
      </c>
      <c r="E16">
        <v>-0.13600000000000001</v>
      </c>
      <c r="F16">
        <v>0.19</v>
      </c>
      <c r="G16">
        <v>-0.33800000000000002</v>
      </c>
      <c r="H16" s="29">
        <v>-0.23437239492616899</v>
      </c>
      <c r="I16">
        <v>-0.222</v>
      </c>
      <c r="J16">
        <v>-0.99918492044959795</v>
      </c>
      <c r="K16">
        <v>0.58433302441438995</v>
      </c>
      <c r="N16">
        <v>0.71599999999999997</v>
      </c>
      <c r="O16">
        <v>-0.21299999999999999</v>
      </c>
      <c r="P16">
        <v>0.55500000000000005</v>
      </c>
      <c r="Q16">
        <v>-0.14199999999999999</v>
      </c>
      <c r="R16">
        <v>0.64200000000000002</v>
      </c>
      <c r="S16">
        <v>-0.14099999999999999</v>
      </c>
    </row>
    <row r="17" spans="1:19" x14ac:dyDescent="0.2">
      <c r="A17">
        <f t="shared" si="0"/>
        <v>2028</v>
      </c>
      <c r="C17">
        <v>0.28299999999999997</v>
      </c>
      <c r="D17">
        <v>-0.28899999999999998</v>
      </c>
      <c r="E17">
        <v>-7.1999999999999995E-2</v>
      </c>
      <c r="F17">
        <v>0.23899999999999999</v>
      </c>
      <c r="G17">
        <v>-0.34599999999999997</v>
      </c>
      <c r="H17" s="29">
        <v>-0.174420625294156</v>
      </c>
      <c r="I17">
        <v>-0.184</v>
      </c>
      <c r="J17">
        <v>-0.99084890726692298</v>
      </c>
      <c r="K17">
        <v>0.65994880318583005</v>
      </c>
      <c r="N17">
        <v>0.81599999999999995</v>
      </c>
      <c r="O17">
        <v>-0.22800000000000001</v>
      </c>
      <c r="P17">
        <v>0.67400000000000004</v>
      </c>
      <c r="Q17">
        <v>-0.19</v>
      </c>
      <c r="R17">
        <v>0.748</v>
      </c>
      <c r="S17">
        <v>-0.17199999999999999</v>
      </c>
    </row>
    <row r="18" spans="1:19" x14ac:dyDescent="0.2">
      <c r="A18">
        <f t="shared" si="0"/>
        <v>2028.25</v>
      </c>
      <c r="C18">
        <v>0.32900000000000001</v>
      </c>
      <c r="D18">
        <v>-0.28899999999999998</v>
      </c>
      <c r="E18">
        <v>-6.0000000000000001E-3</v>
      </c>
      <c r="F18">
        <v>0.28599999999999998</v>
      </c>
      <c r="G18">
        <v>-0.35</v>
      </c>
      <c r="H18" s="29">
        <v>-0.111179754411825</v>
      </c>
      <c r="I18">
        <v>-0.14199999999999999</v>
      </c>
      <c r="J18">
        <v>-0.97633781749487403</v>
      </c>
      <c r="K18">
        <v>0.73579093389104799</v>
      </c>
      <c r="N18">
        <v>0.91300000000000003</v>
      </c>
      <c r="O18">
        <v>-0.23300000000000001</v>
      </c>
      <c r="P18">
        <v>0.79200000000000004</v>
      </c>
      <c r="Q18">
        <v>-0.22800000000000001</v>
      </c>
      <c r="R18">
        <v>0.85199999999999998</v>
      </c>
      <c r="S18">
        <v>-0.192</v>
      </c>
    </row>
    <row r="19" spans="1:19" x14ac:dyDescent="0.2">
      <c r="A19">
        <f t="shared" si="0"/>
        <v>2028.5</v>
      </c>
      <c r="C19">
        <v>0.374</v>
      </c>
      <c r="D19">
        <v>-0.28599999999999998</v>
      </c>
      <c r="E19">
        <v>6.0999999999999999E-2</v>
      </c>
      <c r="F19">
        <v>0.33300000000000002</v>
      </c>
      <c r="G19">
        <v>-0.35199999999999998</v>
      </c>
      <c r="H19" s="29">
        <v>-4.5498186435631999E-2</v>
      </c>
      <c r="I19">
        <v>-9.8000000000000004E-2</v>
      </c>
      <c r="J19">
        <v>-0.95640723539891803</v>
      </c>
      <c r="K19">
        <v>0.81138164766989396</v>
      </c>
      <c r="N19">
        <v>1.0069999999999999</v>
      </c>
      <c r="O19">
        <v>-0.23100000000000001</v>
      </c>
      <c r="P19">
        <v>0.91100000000000003</v>
      </c>
      <c r="Q19">
        <v>-0.25700000000000001</v>
      </c>
      <c r="R19">
        <v>0.95399999999999996</v>
      </c>
      <c r="S19">
        <v>-0.20499999999999999</v>
      </c>
    </row>
    <row r="20" spans="1:19" x14ac:dyDescent="0.2">
      <c r="A20">
        <f t="shared" si="0"/>
        <v>2028.75</v>
      </c>
      <c r="C20">
        <v>0.41699999999999998</v>
      </c>
      <c r="D20">
        <v>-0.28000000000000003</v>
      </c>
      <c r="E20">
        <v>0.13</v>
      </c>
      <c r="F20">
        <v>0.379</v>
      </c>
      <c r="G20">
        <v>-0.35099999999999998</v>
      </c>
      <c r="H20" s="29">
        <v>2.1958331807394101E-2</v>
      </c>
      <c r="I20">
        <v>-5.1999999999999998E-2</v>
      </c>
      <c r="J20">
        <v>-0.93093781009474297</v>
      </c>
      <c r="K20">
        <v>0.88554595640433598</v>
      </c>
      <c r="N20">
        <v>1.0980000000000001</v>
      </c>
      <c r="O20">
        <v>-0.221</v>
      </c>
      <c r="P20">
        <v>1.0289999999999999</v>
      </c>
      <c r="Q20">
        <v>-0.27600000000000002</v>
      </c>
      <c r="R20">
        <v>1.054</v>
      </c>
      <c r="S20">
        <v>-0.20799999999999999</v>
      </c>
    </row>
    <row r="21" spans="1:19" x14ac:dyDescent="0.2">
      <c r="A21">
        <f t="shared" si="0"/>
        <v>2029</v>
      </c>
      <c r="C21">
        <v>0.45900000000000002</v>
      </c>
      <c r="D21">
        <v>-0.27200000000000002</v>
      </c>
      <c r="E21">
        <v>0.19900000000000001</v>
      </c>
      <c r="F21">
        <v>0.42399999999999999</v>
      </c>
      <c r="G21">
        <v>-0.34599999999999997</v>
      </c>
      <c r="H21" s="29">
        <v>9.0668181292722902E-2</v>
      </c>
      <c r="I21">
        <v>-5.0000000000000001E-3</v>
      </c>
      <c r="J21">
        <v>-0.90087383634262796</v>
      </c>
      <c r="K21">
        <v>0.95848517851097803</v>
      </c>
      <c r="N21">
        <v>1.1859999999999999</v>
      </c>
      <c r="O21">
        <v>-0.20399999999999999</v>
      </c>
      <c r="P21">
        <v>1.147</v>
      </c>
      <c r="Q21">
        <v>-0.28599999999999998</v>
      </c>
      <c r="R21">
        <v>1.1519999999999999</v>
      </c>
      <c r="S21">
        <v>-0.20399999999999999</v>
      </c>
    </row>
    <row r="22" spans="1:19" x14ac:dyDescent="0.2">
      <c r="A22">
        <f t="shared" si="0"/>
        <v>2029.25</v>
      </c>
      <c r="C22">
        <v>0.501</v>
      </c>
      <c r="D22">
        <v>-0.26100000000000001</v>
      </c>
      <c r="E22">
        <v>0.26800000000000002</v>
      </c>
      <c r="F22">
        <v>0.46899999999999997</v>
      </c>
      <c r="G22">
        <v>-0.33900000000000002</v>
      </c>
      <c r="H22" s="29">
        <v>0.16022344996257201</v>
      </c>
      <c r="I22">
        <v>4.3999999999999997E-2</v>
      </c>
      <c r="J22">
        <v>-0.86594456433338896</v>
      </c>
      <c r="K22">
        <v>1.02920413904914</v>
      </c>
      <c r="N22">
        <v>1.272</v>
      </c>
      <c r="O22">
        <v>-0.18</v>
      </c>
      <c r="P22">
        <v>1.2649999999999999</v>
      </c>
      <c r="Q22">
        <v>-0.28699999999999998</v>
      </c>
      <c r="R22">
        <v>1.248</v>
      </c>
      <c r="S22">
        <v>-0.193</v>
      </c>
    </row>
    <row r="23" spans="1:19" x14ac:dyDescent="0.2">
      <c r="A23">
        <f t="shared" si="0"/>
        <v>2029.5</v>
      </c>
      <c r="C23">
        <v>0.54100000000000004</v>
      </c>
      <c r="D23">
        <v>-0.247</v>
      </c>
      <c r="E23">
        <v>0.33700000000000002</v>
      </c>
      <c r="F23">
        <v>0.51300000000000001</v>
      </c>
      <c r="G23">
        <v>-0.33</v>
      </c>
      <c r="H23" s="29">
        <v>0.230305940656889</v>
      </c>
      <c r="I23">
        <v>9.4E-2</v>
      </c>
      <c r="J23">
        <v>-0.826354783373761</v>
      </c>
      <c r="K23">
        <v>1.0974032799236999</v>
      </c>
      <c r="N23">
        <v>1.355</v>
      </c>
      <c r="O23">
        <v>-0.15</v>
      </c>
      <c r="P23">
        <v>1.3819999999999999</v>
      </c>
      <c r="Q23">
        <v>-0.28000000000000003</v>
      </c>
      <c r="R23">
        <v>1.343</v>
      </c>
      <c r="S23">
        <v>-0.17399999999999999</v>
      </c>
    </row>
    <row r="24" spans="1:19" x14ac:dyDescent="0.2">
      <c r="A24">
        <f t="shared" si="0"/>
        <v>2029.75</v>
      </c>
      <c r="C24">
        <v>0.57999999999999996</v>
      </c>
      <c r="D24">
        <v>-0.23200000000000001</v>
      </c>
      <c r="E24">
        <v>0.40500000000000003</v>
      </c>
      <c r="F24">
        <v>0.55600000000000005</v>
      </c>
      <c r="G24">
        <v>-0.318</v>
      </c>
      <c r="H24" s="29">
        <v>0.30066825251589901</v>
      </c>
      <c r="I24">
        <v>0.14399999999999999</v>
      </c>
      <c r="J24">
        <v>-0.78301173642599697</v>
      </c>
      <c r="K24">
        <v>1.1636192337154501</v>
      </c>
      <c r="N24">
        <v>1.4359999999999999</v>
      </c>
      <c r="O24">
        <v>-0.114</v>
      </c>
      <c r="P24">
        <v>1.4990000000000001</v>
      </c>
      <c r="Q24">
        <v>-0.26500000000000001</v>
      </c>
      <c r="R24">
        <v>1.4359999999999999</v>
      </c>
      <c r="S24">
        <v>-0.14899999999999999</v>
      </c>
    </row>
    <row r="25" spans="1:19" x14ac:dyDescent="0.2">
      <c r="A25">
        <f t="shared" si="0"/>
        <v>2030</v>
      </c>
      <c r="C25">
        <v>0.61899999999999999</v>
      </c>
      <c r="D25">
        <v>-0.214</v>
      </c>
      <c r="E25">
        <v>0.47299999999999998</v>
      </c>
      <c r="F25">
        <v>0.59899999999999998</v>
      </c>
      <c r="G25">
        <v>-0.30299999999999999</v>
      </c>
      <c r="H25" s="29">
        <v>0.37111886255802401</v>
      </c>
      <c r="I25">
        <v>0.19500000000000001</v>
      </c>
      <c r="J25">
        <v>-0.73559602925508705</v>
      </c>
      <c r="K25">
        <v>1.22713525281125</v>
      </c>
      <c r="N25">
        <v>1.514</v>
      </c>
      <c r="O25">
        <v>-7.1999999999999995E-2</v>
      </c>
      <c r="P25">
        <v>1.6160000000000001</v>
      </c>
      <c r="Q25">
        <v>-0.24199999999999999</v>
      </c>
      <c r="R25">
        <v>1.528</v>
      </c>
      <c r="S25">
        <v>-0.11700000000000001</v>
      </c>
    </row>
    <row r="26" spans="1:19" x14ac:dyDescent="0.2">
      <c r="A26">
        <f t="shared" si="0"/>
        <v>2030.25</v>
      </c>
      <c r="C26">
        <v>0.65600000000000003</v>
      </c>
      <c r="D26">
        <v>-0.19400000000000001</v>
      </c>
      <c r="E26">
        <v>0.53900000000000003</v>
      </c>
      <c r="F26">
        <v>0.64100000000000001</v>
      </c>
      <c r="G26">
        <v>-0.28599999999999998</v>
      </c>
      <c r="H26" s="29">
        <v>0.44151036238998098</v>
      </c>
      <c r="I26">
        <v>0.247</v>
      </c>
      <c r="J26">
        <v>-0.68491376863022102</v>
      </c>
      <c r="K26">
        <v>1.2885183639855899</v>
      </c>
      <c r="N26">
        <v>1.589</v>
      </c>
      <c r="O26">
        <v>-2.5999999999999999E-2</v>
      </c>
      <c r="P26">
        <v>1.7330000000000001</v>
      </c>
      <c r="Q26">
        <v>-0.21199999999999999</v>
      </c>
      <c r="R26">
        <v>1.6180000000000001</v>
      </c>
      <c r="S26">
        <v>-0.08</v>
      </c>
    </row>
    <row r="27" spans="1:19" x14ac:dyDescent="0.2">
      <c r="A27">
        <f t="shared" si="0"/>
        <v>2030.5</v>
      </c>
      <c r="C27">
        <v>0.69299999999999995</v>
      </c>
      <c r="D27">
        <v>-0.17199999999999999</v>
      </c>
      <c r="E27">
        <v>0.60499999999999998</v>
      </c>
      <c r="F27">
        <v>0.68200000000000005</v>
      </c>
      <c r="G27">
        <v>-0.26600000000000001</v>
      </c>
      <c r="H27" s="29">
        <v>0.51173018560633299</v>
      </c>
      <c r="I27">
        <v>0.29899999999999999</v>
      </c>
      <c r="J27">
        <v>-0.63119314292863404</v>
      </c>
      <c r="K27">
        <v>1.34770708178957</v>
      </c>
      <c r="N27">
        <v>1.6619999999999999</v>
      </c>
      <c r="O27">
        <v>2.5000000000000001E-2</v>
      </c>
      <c r="P27">
        <v>1.85</v>
      </c>
      <c r="Q27">
        <v>-0.17499999999999999</v>
      </c>
      <c r="R27">
        <v>1.706</v>
      </c>
      <c r="S27">
        <v>-3.5999999999999997E-2</v>
      </c>
    </row>
    <row r="28" spans="1:19" x14ac:dyDescent="0.2">
      <c r="A28">
        <f t="shared" si="0"/>
        <v>2030.75</v>
      </c>
      <c r="C28">
        <v>0.72899999999999998</v>
      </c>
      <c r="D28">
        <v>-0.14799999999999999</v>
      </c>
      <c r="E28">
        <v>0.67</v>
      </c>
      <c r="F28">
        <v>0.72299999999999998</v>
      </c>
      <c r="G28">
        <v>-0.24399999999999999</v>
      </c>
      <c r="H28" s="29">
        <v>0.58169330332907798</v>
      </c>
      <c r="I28">
        <v>0.35099999999999998</v>
      </c>
      <c r="J28">
        <v>-0.57387559883122097</v>
      </c>
      <c r="K28">
        <v>1.40386152084452</v>
      </c>
      <c r="N28">
        <v>1.7330000000000001</v>
      </c>
      <c r="O28">
        <v>0.08</v>
      </c>
      <c r="P28">
        <v>1.966</v>
      </c>
      <c r="Q28">
        <v>-0.13</v>
      </c>
      <c r="R28">
        <v>1.7929999999999999</v>
      </c>
      <c r="S28">
        <v>1.2E-2</v>
      </c>
    </row>
    <row r="29" spans="1:19" x14ac:dyDescent="0.2">
      <c r="A29">
        <f t="shared" si="0"/>
        <v>2031</v>
      </c>
      <c r="C29">
        <v>0.76400000000000001</v>
      </c>
      <c r="D29">
        <v>-0.123</v>
      </c>
      <c r="E29">
        <v>0.73399999999999999</v>
      </c>
      <c r="F29">
        <v>0.76400000000000001</v>
      </c>
      <c r="G29">
        <v>-0.22</v>
      </c>
      <c r="H29" s="29">
        <v>0.65133647671741401</v>
      </c>
      <c r="I29">
        <v>0.40300000000000002</v>
      </c>
      <c r="J29">
        <v>-0.51360008200852603</v>
      </c>
      <c r="K29">
        <v>1.4574379952769201</v>
      </c>
      <c r="N29">
        <v>1.802</v>
      </c>
      <c r="O29">
        <v>0.14000000000000001</v>
      </c>
      <c r="P29">
        <v>2.0819999999999999</v>
      </c>
      <c r="Q29">
        <v>-7.9000000000000001E-2</v>
      </c>
      <c r="R29">
        <v>1.8779999999999999</v>
      </c>
      <c r="S29">
        <v>6.5000000000000002E-2</v>
      </c>
    </row>
    <row r="30" spans="1:19" x14ac:dyDescent="0.2">
      <c r="A30">
        <f t="shared" si="0"/>
        <v>2031.25</v>
      </c>
      <c r="C30">
        <v>0.79800000000000004</v>
      </c>
      <c r="D30">
        <v>-9.6000000000000002E-2</v>
      </c>
      <c r="E30">
        <v>0.79600000000000004</v>
      </c>
      <c r="F30">
        <v>0.80400000000000005</v>
      </c>
      <c r="G30">
        <v>-0.19400000000000001</v>
      </c>
      <c r="H30" s="29">
        <v>0.72061374277894796</v>
      </c>
      <c r="I30">
        <v>0.45600000000000002</v>
      </c>
      <c r="J30">
        <v>-0.44983603468153799</v>
      </c>
      <c r="K30">
        <v>1.5076891070090599</v>
      </c>
      <c r="N30">
        <v>1.869</v>
      </c>
      <c r="O30">
        <v>0.20200000000000001</v>
      </c>
      <c r="P30">
        <v>2.1970000000000001</v>
      </c>
      <c r="Q30">
        <v>-2.1999999999999999E-2</v>
      </c>
      <c r="R30">
        <v>1.962</v>
      </c>
      <c r="S30">
        <v>0.123</v>
      </c>
    </row>
    <row r="31" spans="1:19" x14ac:dyDescent="0.2">
      <c r="A31">
        <f t="shared" si="0"/>
        <v>2031.5</v>
      </c>
      <c r="C31">
        <v>0.83199999999999996</v>
      </c>
      <c r="D31">
        <v>-6.7000000000000004E-2</v>
      </c>
      <c r="E31">
        <v>0.85799999999999998</v>
      </c>
      <c r="F31">
        <v>0.84299999999999997</v>
      </c>
      <c r="G31">
        <v>-0.16600000000000001</v>
      </c>
      <c r="H31" s="29">
        <v>0.78949287868447904</v>
      </c>
      <c r="I31">
        <v>0.50800000000000001</v>
      </c>
      <c r="J31">
        <v>-0.38319597456562499</v>
      </c>
      <c r="K31">
        <v>1.5550613858112099</v>
      </c>
      <c r="N31">
        <v>1.9330000000000001</v>
      </c>
      <c r="O31">
        <v>0.26800000000000002</v>
      </c>
      <c r="P31">
        <v>2.3130000000000002</v>
      </c>
      <c r="Q31">
        <v>4.1000000000000002E-2</v>
      </c>
      <c r="R31">
        <v>2.0449999999999999</v>
      </c>
      <c r="S31">
        <v>0.186</v>
      </c>
    </row>
    <row r="32" spans="1:19" x14ac:dyDescent="0.2">
      <c r="A32">
        <f t="shared" si="0"/>
        <v>2031.75</v>
      </c>
      <c r="C32">
        <v>0.86499999999999999</v>
      </c>
      <c r="D32">
        <v>-3.5999999999999997E-2</v>
      </c>
      <c r="E32">
        <v>0.91800000000000004</v>
      </c>
      <c r="F32">
        <v>0.88200000000000001</v>
      </c>
      <c r="G32">
        <v>-0.13600000000000001</v>
      </c>
      <c r="H32" s="29">
        <v>0.85795264404974503</v>
      </c>
      <c r="I32">
        <v>0.56100000000000005</v>
      </c>
      <c r="J32">
        <v>-0.31305754730705998</v>
      </c>
      <c r="K32">
        <v>1.5987210278117201</v>
      </c>
      <c r="N32">
        <v>1.996</v>
      </c>
      <c r="O32">
        <v>0.33700000000000002</v>
      </c>
      <c r="P32">
        <v>2.4279999999999999</v>
      </c>
      <c r="Q32">
        <v>0.111</v>
      </c>
      <c r="R32">
        <v>2.1259999999999999</v>
      </c>
      <c r="S32">
        <v>0.252</v>
      </c>
    </row>
    <row r="33" spans="1:19" x14ac:dyDescent="0.2">
      <c r="A33">
        <f t="shared" si="0"/>
        <v>2032</v>
      </c>
      <c r="C33">
        <v>0.89700000000000002</v>
      </c>
      <c r="D33">
        <v>-5.0000000000000001E-3</v>
      </c>
      <c r="E33">
        <v>0.97799999999999998</v>
      </c>
      <c r="F33">
        <v>0.92100000000000004</v>
      </c>
      <c r="G33">
        <v>-0.104</v>
      </c>
      <c r="H33" s="29">
        <v>0.92598064353299703</v>
      </c>
      <c r="I33">
        <v>0.61299999999999999</v>
      </c>
      <c r="J33">
        <v>-0.239353107748147</v>
      </c>
      <c r="K33">
        <v>1.6384749350187999</v>
      </c>
      <c r="N33">
        <v>2.0569999999999999</v>
      </c>
      <c r="O33">
        <v>0.40899999999999997</v>
      </c>
      <c r="P33">
        <v>2.544</v>
      </c>
      <c r="Q33">
        <v>0.185</v>
      </c>
      <c r="R33">
        <v>2.206</v>
      </c>
      <c r="S33">
        <v>0.32300000000000001</v>
      </c>
    </row>
    <row r="34" spans="1:19" x14ac:dyDescent="0.2">
      <c r="A34">
        <f t="shared" si="0"/>
        <v>2032.25</v>
      </c>
      <c r="C34">
        <v>0.92800000000000005</v>
      </c>
      <c r="D34">
        <v>2.9000000000000001E-2</v>
      </c>
      <c r="E34">
        <v>1.036</v>
      </c>
      <c r="F34">
        <v>0.96</v>
      </c>
      <c r="G34">
        <v>-7.0000000000000007E-2</v>
      </c>
      <c r="H34" s="29">
        <v>0.99357168597839396</v>
      </c>
      <c r="I34">
        <v>0.66600000000000004</v>
      </c>
      <c r="J34">
        <v>-0.162818096593107</v>
      </c>
      <c r="K34">
        <v>1.67494668153146</v>
      </c>
      <c r="N34">
        <v>2.1150000000000002</v>
      </c>
      <c r="O34">
        <v>0.48299999999999998</v>
      </c>
      <c r="P34">
        <v>2.6589999999999998</v>
      </c>
      <c r="Q34">
        <v>0.26600000000000001</v>
      </c>
      <c r="R34">
        <v>2.2850000000000001</v>
      </c>
      <c r="S34">
        <v>0.39700000000000002</v>
      </c>
    </row>
    <row r="35" spans="1:19" x14ac:dyDescent="0.2">
      <c r="A35">
        <f t="shared" si="0"/>
        <v>2032.5</v>
      </c>
      <c r="C35">
        <v>0.95899999999999996</v>
      </c>
      <c r="D35">
        <v>6.3E-2</v>
      </c>
      <c r="E35">
        <v>1.093</v>
      </c>
      <c r="F35">
        <v>0.998</v>
      </c>
      <c r="G35">
        <v>-3.4000000000000002E-2</v>
      </c>
      <c r="H35" s="29">
        <v>1.06072654319327</v>
      </c>
      <c r="I35">
        <v>0.71899999999999997</v>
      </c>
      <c r="J35">
        <v>-8.3522654587262393E-2</v>
      </c>
      <c r="K35">
        <v>1.7080247294525099</v>
      </c>
      <c r="N35">
        <v>2.1720000000000002</v>
      </c>
      <c r="O35">
        <v>0.55900000000000005</v>
      </c>
      <c r="P35">
        <v>2.774</v>
      </c>
      <c r="Q35">
        <v>0.35099999999999998</v>
      </c>
      <c r="R35">
        <v>2.363</v>
      </c>
      <c r="S35">
        <v>0.47399999999999998</v>
      </c>
    </row>
    <row r="36" spans="1:19" x14ac:dyDescent="0.2">
      <c r="A36">
        <f t="shared" si="0"/>
        <v>2032.75</v>
      </c>
      <c r="C36">
        <v>0.99</v>
      </c>
      <c r="D36">
        <v>9.9000000000000005E-2</v>
      </c>
      <c r="E36">
        <v>1.149</v>
      </c>
      <c r="F36">
        <v>1.0349999999999999</v>
      </c>
      <c r="G36">
        <v>3.0000000000000001E-3</v>
      </c>
      <c r="H36" s="29">
        <v>1.1274510327539899</v>
      </c>
      <c r="I36">
        <v>0.77100000000000002</v>
      </c>
      <c r="J36">
        <v>-6.9384046836238104E-4</v>
      </c>
      <c r="K36">
        <v>1.73678401651932</v>
      </c>
      <c r="N36">
        <v>2.2280000000000002</v>
      </c>
      <c r="O36">
        <v>0.63700000000000001</v>
      </c>
      <c r="P36">
        <v>2.8889999999999998</v>
      </c>
      <c r="Q36">
        <v>0.441</v>
      </c>
      <c r="R36">
        <v>2.4390000000000001</v>
      </c>
      <c r="S36">
        <v>0.55500000000000005</v>
      </c>
    </row>
    <row r="37" spans="1:19" x14ac:dyDescent="0.2">
      <c r="A37">
        <f t="shared" si="0"/>
        <v>2033</v>
      </c>
      <c r="C37">
        <v>1.0189999999999999</v>
      </c>
      <c r="D37">
        <v>0.13600000000000001</v>
      </c>
      <c r="E37">
        <v>1.2030000000000001</v>
      </c>
      <c r="F37">
        <v>1.073</v>
      </c>
      <c r="G37">
        <v>4.2000000000000003E-2</v>
      </c>
      <c r="H37" s="29">
        <v>1.19375536611727</v>
      </c>
      <c r="I37">
        <v>0.82399999999999995</v>
      </c>
      <c r="J37">
        <v>8.5196597948113101E-2</v>
      </c>
      <c r="K37">
        <v>1.76154288422057</v>
      </c>
      <c r="N37">
        <v>2.2810000000000001</v>
      </c>
      <c r="O37">
        <v>0.71699999999999997</v>
      </c>
      <c r="P37">
        <v>3.004</v>
      </c>
      <c r="Q37">
        <v>0.53600000000000003</v>
      </c>
      <c r="R37">
        <v>2.5139999999999998</v>
      </c>
      <c r="S37">
        <v>0.63800000000000001</v>
      </c>
    </row>
    <row r="38" spans="1:19" x14ac:dyDescent="0.2">
      <c r="A38">
        <f t="shared" si="0"/>
        <v>2033.25</v>
      </c>
      <c r="C38">
        <v>1.048</v>
      </c>
      <c r="D38">
        <v>0.17399999999999999</v>
      </c>
      <c r="E38">
        <v>1.2569999999999999</v>
      </c>
      <c r="F38">
        <v>1.1100000000000001</v>
      </c>
      <c r="G38">
        <v>8.3000000000000004E-2</v>
      </c>
      <c r="H38" s="29">
        <v>1.2596537166785999</v>
      </c>
      <c r="I38">
        <v>0.876</v>
      </c>
      <c r="J38">
        <v>0.17492507533792001</v>
      </c>
      <c r="K38">
        <v>1.78141484263945</v>
      </c>
      <c r="N38">
        <v>2.3330000000000002</v>
      </c>
      <c r="O38">
        <v>0.79900000000000004</v>
      </c>
      <c r="P38">
        <v>3.12</v>
      </c>
      <c r="Q38">
        <v>0.63500000000000001</v>
      </c>
      <c r="R38">
        <v>2.5880000000000001</v>
      </c>
      <c r="S38">
        <v>0.72399999999999998</v>
      </c>
    </row>
    <row r="39" spans="1:19" x14ac:dyDescent="0.2">
      <c r="A39">
        <f t="shared" si="0"/>
        <v>2033.5</v>
      </c>
      <c r="C39">
        <v>1.077</v>
      </c>
      <c r="D39">
        <v>0.21299999999999999</v>
      </c>
      <c r="E39">
        <v>1.31</v>
      </c>
      <c r="F39">
        <v>1.1459999999999999</v>
      </c>
      <c r="G39">
        <v>0.125</v>
      </c>
      <c r="H39" s="29">
        <v>1.32516397284501</v>
      </c>
      <c r="I39">
        <v>0.92800000000000005</v>
      </c>
      <c r="J39">
        <v>0.26807502017162199</v>
      </c>
      <c r="K39">
        <v>1.79667423871481</v>
      </c>
      <c r="N39">
        <v>2.383</v>
      </c>
      <c r="O39">
        <v>0.88200000000000001</v>
      </c>
      <c r="P39">
        <v>3.2349999999999999</v>
      </c>
      <c r="Q39">
        <v>0.73799999999999999</v>
      </c>
      <c r="R39">
        <v>2.661</v>
      </c>
      <c r="S39">
        <v>0.81299999999999994</v>
      </c>
    </row>
    <row r="40" spans="1:19" x14ac:dyDescent="0.2">
      <c r="A40">
        <f t="shared" si="0"/>
        <v>2033.75</v>
      </c>
      <c r="C40">
        <v>1.105</v>
      </c>
      <c r="D40">
        <v>0.253</v>
      </c>
      <c r="E40">
        <v>1.361</v>
      </c>
      <c r="F40">
        <v>1.1830000000000001</v>
      </c>
      <c r="G40">
        <v>0.16900000000000001</v>
      </c>
      <c r="H40" s="29">
        <v>1.39030764893076</v>
      </c>
      <c r="I40">
        <v>0.98</v>
      </c>
      <c r="J40">
        <v>0.36553345470249099</v>
      </c>
      <c r="K40">
        <v>1.80637049347085</v>
      </c>
      <c r="N40">
        <v>2.4319999999999999</v>
      </c>
      <c r="O40">
        <v>0.96599999999999997</v>
      </c>
      <c r="P40">
        <v>3.351</v>
      </c>
      <c r="Q40">
        <v>0.84599999999999997</v>
      </c>
      <c r="R40">
        <v>2.7330000000000001</v>
      </c>
      <c r="S40">
        <v>0.90400000000000003</v>
      </c>
    </row>
    <row r="41" spans="1:19" x14ac:dyDescent="0.2">
      <c r="A41">
        <f t="shared" si="0"/>
        <v>2034</v>
      </c>
      <c r="C41">
        <v>1.1319999999999999</v>
      </c>
      <c r="D41">
        <v>0.29499999999999998</v>
      </c>
      <c r="E41">
        <v>1.4119999999999999</v>
      </c>
      <c r="F41">
        <v>1.2190000000000001</v>
      </c>
      <c r="G41">
        <v>0.214</v>
      </c>
      <c r="H41" s="29">
        <v>1.4551099312214699</v>
      </c>
      <c r="I41">
        <v>1.032</v>
      </c>
      <c r="J41">
        <v>0.46700879990369099</v>
      </c>
      <c r="K41">
        <v>1.81068149706334</v>
      </c>
      <c r="N41">
        <v>2.4790000000000001</v>
      </c>
      <c r="O41">
        <v>1.0509999999999999</v>
      </c>
      <c r="P41">
        <v>3.4670000000000001</v>
      </c>
      <c r="Q41">
        <v>0.95699999999999996</v>
      </c>
      <c r="R41">
        <v>2.8039999999999998</v>
      </c>
      <c r="S41">
        <v>0.997</v>
      </c>
    </row>
    <row r="42" spans="1:19" x14ac:dyDescent="0.2">
      <c r="A42">
        <f t="shared" si="0"/>
        <v>2034.25</v>
      </c>
      <c r="C42">
        <v>1.159</v>
      </c>
      <c r="D42">
        <v>0.33600000000000002</v>
      </c>
      <c r="E42">
        <v>1.4610000000000001</v>
      </c>
      <c r="F42">
        <v>1.2549999999999999</v>
      </c>
      <c r="G42">
        <v>0.26100000000000001</v>
      </c>
      <c r="H42" s="29">
        <v>1.5195998352840401</v>
      </c>
      <c r="I42">
        <v>1.0840000000000001</v>
      </c>
      <c r="J42">
        <v>0.57359170748689803</v>
      </c>
      <c r="K42">
        <v>1.80851996237288</v>
      </c>
      <c r="N42">
        <v>2.5249999999999999</v>
      </c>
      <c r="O42">
        <v>1.137</v>
      </c>
      <c r="P42">
        <v>3.5830000000000002</v>
      </c>
      <c r="Q42">
        <v>1.073</v>
      </c>
      <c r="R42">
        <v>2.8740000000000001</v>
      </c>
      <c r="S42">
        <v>1.0920000000000001</v>
      </c>
    </row>
    <row r="43" spans="1:19" x14ac:dyDescent="0.2">
      <c r="A43">
        <f t="shared" si="0"/>
        <v>2034.5</v>
      </c>
      <c r="C43">
        <v>1.1859999999999999</v>
      </c>
      <c r="D43">
        <v>0.379</v>
      </c>
      <c r="E43">
        <v>1.51</v>
      </c>
      <c r="F43">
        <v>1.2909999999999999</v>
      </c>
      <c r="G43">
        <v>0.308</v>
      </c>
      <c r="H43" s="29">
        <v>1.58381043435816</v>
      </c>
      <c r="I43">
        <v>1.135</v>
      </c>
      <c r="J43">
        <v>0.68581354032975195</v>
      </c>
      <c r="K43">
        <v>1.7994241578858901</v>
      </c>
      <c r="N43">
        <v>2.569</v>
      </c>
      <c r="O43">
        <v>1.224</v>
      </c>
      <c r="P43">
        <v>3.7</v>
      </c>
      <c r="Q43">
        <v>1.1910000000000001</v>
      </c>
      <c r="R43">
        <v>2.9420000000000002</v>
      </c>
      <c r="S43">
        <v>1.1890000000000001</v>
      </c>
    </row>
    <row r="44" spans="1:19" x14ac:dyDescent="0.2">
      <c r="A44">
        <f t="shared" si="0"/>
        <v>2034.75</v>
      </c>
      <c r="C44">
        <v>1.2110000000000001</v>
      </c>
      <c r="D44">
        <v>0.42299999999999999</v>
      </c>
      <c r="E44">
        <v>1.5580000000000001</v>
      </c>
      <c r="F44">
        <v>1.3260000000000001</v>
      </c>
      <c r="G44">
        <v>0.35799999999999998</v>
      </c>
      <c r="H44" s="29">
        <v>1.64777905691849</v>
      </c>
      <c r="I44">
        <v>1.1859999999999999</v>
      </c>
      <c r="J44">
        <v>0.80334682809815605</v>
      </c>
      <c r="K44">
        <v>1.7837753753316701</v>
      </c>
      <c r="N44">
        <v>2.6120000000000001</v>
      </c>
      <c r="O44">
        <v>1.3109999999999999</v>
      </c>
      <c r="P44">
        <v>3.8180000000000001</v>
      </c>
      <c r="Q44">
        <v>1.3140000000000001</v>
      </c>
      <c r="R44">
        <v>3.01</v>
      </c>
      <c r="S44">
        <v>1.288</v>
      </c>
    </row>
    <row r="45" spans="1:19" x14ac:dyDescent="0.2">
      <c r="A45">
        <f t="shared" si="0"/>
        <v>2035</v>
      </c>
      <c r="C45">
        <v>1.2370000000000001</v>
      </c>
      <c r="D45">
        <v>0.46700000000000003</v>
      </c>
      <c r="E45">
        <v>1.6040000000000001</v>
      </c>
      <c r="F45">
        <v>1.361</v>
      </c>
      <c r="G45">
        <v>0.40799999999999997</v>
      </c>
      <c r="H45" s="29">
        <v>1.71154714346534</v>
      </c>
      <c r="I45">
        <v>1.238</v>
      </c>
      <c r="J45">
        <v>0.92645192859465797</v>
      </c>
      <c r="K45">
        <v>1.76148052928139</v>
      </c>
      <c r="N45">
        <v>2.6539999999999999</v>
      </c>
      <c r="O45">
        <v>1.399</v>
      </c>
      <c r="P45">
        <v>3.9359999999999999</v>
      </c>
      <c r="Q45">
        <v>1.4390000000000001</v>
      </c>
      <c r="R45">
        <v>3.077</v>
      </c>
      <c r="S45">
        <v>1.3879999999999999</v>
      </c>
    </row>
    <row r="46" spans="1:19" x14ac:dyDescent="0.2">
      <c r="A46">
        <f t="shared" si="0"/>
        <v>2035.25</v>
      </c>
      <c r="C46">
        <v>1.262</v>
      </c>
      <c r="D46">
        <v>0.51200000000000001</v>
      </c>
      <c r="E46">
        <v>1.65</v>
      </c>
      <c r="F46">
        <v>1.3959999999999999</v>
      </c>
      <c r="G46">
        <v>0.46</v>
      </c>
      <c r="H46" s="29">
        <v>1.7751587647629501</v>
      </c>
      <c r="I46">
        <v>1.288</v>
      </c>
      <c r="J46">
        <v>1.05565428725233</v>
      </c>
      <c r="K46">
        <v>1.7324848442168601</v>
      </c>
      <c r="N46">
        <v>2.694</v>
      </c>
      <c r="O46">
        <v>1.4870000000000001</v>
      </c>
      <c r="P46">
        <v>4.0549999999999997</v>
      </c>
      <c r="Q46">
        <v>1.5680000000000001</v>
      </c>
      <c r="R46">
        <v>3.1429999999999998</v>
      </c>
      <c r="S46">
        <v>1.49</v>
      </c>
    </row>
    <row r="47" spans="1:19" x14ac:dyDescent="0.2">
      <c r="A47">
        <f t="shared" si="0"/>
        <v>2035.5</v>
      </c>
      <c r="C47">
        <v>1.286</v>
      </c>
      <c r="D47">
        <v>0.55700000000000005</v>
      </c>
      <c r="E47">
        <v>1.6950000000000001</v>
      </c>
      <c r="F47">
        <v>1.431</v>
      </c>
      <c r="G47">
        <v>0.51300000000000001</v>
      </c>
      <c r="H47" s="29">
        <v>1.8386545279773201</v>
      </c>
      <c r="I47">
        <v>1.339</v>
      </c>
      <c r="J47">
        <v>1.1842211404490399</v>
      </c>
      <c r="K47">
        <v>1.7030110134732701</v>
      </c>
      <c r="N47">
        <v>2.7330000000000001</v>
      </c>
      <c r="O47">
        <v>1.575</v>
      </c>
      <c r="P47">
        <v>4.17</v>
      </c>
      <c r="Q47">
        <v>1.702</v>
      </c>
      <c r="R47">
        <v>3.2090000000000001</v>
      </c>
      <c r="S47">
        <v>1.593</v>
      </c>
    </row>
    <row r="48" spans="1:19" x14ac:dyDescent="0.2">
      <c r="A48">
        <f t="shared" si="0"/>
        <v>2035.75</v>
      </c>
      <c r="C48">
        <v>1.31</v>
      </c>
      <c r="D48">
        <v>0.60299999999999998</v>
      </c>
      <c r="E48">
        <v>1.7390000000000001</v>
      </c>
      <c r="F48">
        <v>1.464</v>
      </c>
      <c r="G48">
        <v>0.56699999999999995</v>
      </c>
      <c r="H48" s="29">
        <v>1.90205003842738</v>
      </c>
      <c r="I48">
        <v>1.39</v>
      </c>
      <c r="J48">
        <v>1.31077155060269</v>
      </c>
      <c r="K48">
        <v>1.6744244334670799</v>
      </c>
      <c r="N48">
        <v>2.7709999999999999</v>
      </c>
      <c r="O48">
        <v>1.6639999999999999</v>
      </c>
      <c r="P48">
        <v>4.282</v>
      </c>
      <c r="Q48">
        <v>1.841</v>
      </c>
      <c r="R48">
        <v>3.2730000000000001</v>
      </c>
      <c r="S48">
        <v>1.6970000000000001</v>
      </c>
    </row>
    <row r="49" spans="1:19" x14ac:dyDescent="0.2">
      <c r="A49">
        <f t="shared" si="0"/>
        <v>2036</v>
      </c>
      <c r="C49">
        <v>1.3340000000000001</v>
      </c>
      <c r="D49">
        <v>0.65</v>
      </c>
      <c r="E49">
        <v>1.782</v>
      </c>
      <c r="F49">
        <v>1.4970000000000001</v>
      </c>
      <c r="G49">
        <v>0.623</v>
      </c>
      <c r="H49" s="29">
        <v>1.96516018781665</v>
      </c>
      <c r="I49">
        <v>1.44</v>
      </c>
      <c r="J49">
        <v>1.4349726037468</v>
      </c>
      <c r="K49">
        <v>1.64705362681807</v>
      </c>
      <c r="N49">
        <v>2.8079999999999998</v>
      </c>
      <c r="O49">
        <v>1.752</v>
      </c>
      <c r="P49">
        <v>4.391</v>
      </c>
      <c r="Q49">
        <v>1.9850000000000001</v>
      </c>
      <c r="R49">
        <v>3.3359999999999999</v>
      </c>
      <c r="S49">
        <v>1.802</v>
      </c>
    </row>
    <row r="50" spans="1:19" x14ac:dyDescent="0.2">
      <c r="A50">
        <f t="shared" si="0"/>
        <v>2036.25</v>
      </c>
      <c r="C50">
        <v>1.357</v>
      </c>
      <c r="D50">
        <v>0.69699999999999995</v>
      </c>
      <c r="E50">
        <v>1.8240000000000001</v>
      </c>
      <c r="F50">
        <v>1.53</v>
      </c>
      <c r="G50">
        <v>0.67900000000000005</v>
      </c>
      <c r="H50" s="29">
        <v>2.0278006665952399</v>
      </c>
      <c r="I50">
        <v>1.49</v>
      </c>
      <c r="J50">
        <v>1.5567809498785601</v>
      </c>
      <c r="K50">
        <v>1.62094564450129</v>
      </c>
      <c r="N50">
        <v>2.843</v>
      </c>
      <c r="O50">
        <v>1.84</v>
      </c>
      <c r="P50">
        <v>4.4960000000000004</v>
      </c>
      <c r="Q50">
        <v>2.133</v>
      </c>
      <c r="R50">
        <v>3.399</v>
      </c>
      <c r="S50">
        <v>1.909</v>
      </c>
    </row>
    <row r="51" spans="1:19" x14ac:dyDescent="0.2">
      <c r="A51">
        <f t="shared" si="0"/>
        <v>2036.5</v>
      </c>
      <c r="C51">
        <v>1.38</v>
      </c>
      <c r="D51">
        <v>0.74399999999999999</v>
      </c>
      <c r="E51">
        <v>1.865</v>
      </c>
      <c r="F51">
        <v>1.5620000000000001</v>
      </c>
      <c r="G51">
        <v>0.73699999999999999</v>
      </c>
      <c r="H51" s="29">
        <v>2.0898196223748098</v>
      </c>
      <c r="I51">
        <v>1.5389999999999999</v>
      </c>
      <c r="J51">
        <v>1.67623111803895</v>
      </c>
      <c r="K51">
        <v>1.59607321325555</v>
      </c>
      <c r="N51">
        <v>2.8769999999999998</v>
      </c>
      <c r="O51">
        <v>1.9279999999999999</v>
      </c>
      <c r="P51">
        <v>4.5979999999999999</v>
      </c>
      <c r="Q51">
        <v>2.2850000000000001</v>
      </c>
      <c r="R51">
        <v>3.4609999999999999</v>
      </c>
      <c r="S51">
        <v>2.016</v>
      </c>
    </row>
    <row r="52" spans="1:19" x14ac:dyDescent="0.2">
      <c r="A52">
        <f t="shared" si="0"/>
        <v>2036.75</v>
      </c>
      <c r="C52">
        <v>1.4019999999999999</v>
      </c>
      <c r="D52">
        <v>0.79200000000000004</v>
      </c>
      <c r="E52">
        <v>1.9059999999999999</v>
      </c>
      <c r="F52">
        <v>1.593</v>
      </c>
      <c r="G52">
        <v>0.79500000000000004</v>
      </c>
      <c r="H52" s="29">
        <v>2.15109925207233</v>
      </c>
      <c r="I52">
        <v>1.589</v>
      </c>
      <c r="J52">
        <v>1.79337692929874</v>
      </c>
      <c r="K52">
        <v>1.5723912939754801</v>
      </c>
      <c r="N52">
        <v>2.911</v>
      </c>
      <c r="O52">
        <v>2.016</v>
      </c>
      <c r="P52">
        <v>4.6959999999999997</v>
      </c>
      <c r="Q52">
        <v>2.44</v>
      </c>
      <c r="R52">
        <v>3.5219999999999998</v>
      </c>
      <c r="S52">
        <v>2.1240000000000001</v>
      </c>
    </row>
    <row r="53" spans="1:19" x14ac:dyDescent="0.2">
      <c r="A53">
        <f t="shared" si="0"/>
        <v>2037</v>
      </c>
      <c r="C53">
        <v>1.4239999999999999</v>
      </c>
      <c r="D53">
        <v>0.84</v>
      </c>
      <c r="E53">
        <v>1.946</v>
      </c>
      <c r="F53">
        <v>1.623</v>
      </c>
      <c r="G53">
        <v>0.85399999999999998</v>
      </c>
      <c r="H53" s="29">
        <v>2.2115507825109701</v>
      </c>
      <c r="I53">
        <v>1.6379999999999999</v>
      </c>
      <c r="J53">
        <v>1.9082754520774201</v>
      </c>
      <c r="K53">
        <v>1.54985229528583</v>
      </c>
      <c r="N53">
        <v>2.9430000000000001</v>
      </c>
      <c r="O53">
        <v>2.1040000000000001</v>
      </c>
      <c r="P53">
        <v>4.7910000000000004</v>
      </c>
      <c r="Q53">
        <v>2.5990000000000002</v>
      </c>
      <c r="R53">
        <v>3.5830000000000002</v>
      </c>
      <c r="S53">
        <v>2.2330000000000001</v>
      </c>
    </row>
    <row r="54" spans="1:19" x14ac:dyDescent="0.2">
      <c r="A54">
        <f t="shared" si="0"/>
        <v>2037.25</v>
      </c>
      <c r="C54">
        <v>1.4450000000000001</v>
      </c>
      <c r="D54">
        <v>0.88900000000000001</v>
      </c>
      <c r="E54">
        <v>1.9850000000000001</v>
      </c>
      <c r="F54">
        <v>1.653</v>
      </c>
      <c r="G54">
        <v>0.91500000000000004</v>
      </c>
      <c r="H54" s="29">
        <v>2.2711088339965402</v>
      </c>
      <c r="I54">
        <v>1.6859999999999999</v>
      </c>
      <c r="J54">
        <v>2.02098269742479</v>
      </c>
      <c r="K54">
        <v>1.5284099731903</v>
      </c>
      <c r="N54">
        <v>2.9740000000000002</v>
      </c>
      <c r="O54">
        <v>2.1909999999999998</v>
      </c>
      <c r="P54">
        <v>4.8840000000000003</v>
      </c>
      <c r="Q54">
        <v>2.76</v>
      </c>
      <c r="R54">
        <v>3.6429999999999998</v>
      </c>
      <c r="S54">
        <v>2.343</v>
      </c>
    </row>
    <row r="55" spans="1:19" x14ac:dyDescent="0.2">
      <c r="A55">
        <f t="shared" si="0"/>
        <v>2037.5</v>
      </c>
      <c r="C55">
        <v>1.466</v>
      </c>
      <c r="D55">
        <v>0.93700000000000006</v>
      </c>
      <c r="E55">
        <v>2.0230000000000001</v>
      </c>
      <c r="F55">
        <v>1.6830000000000001</v>
      </c>
      <c r="G55">
        <v>0.97499999999999998</v>
      </c>
      <c r="H55" s="29">
        <v>2.3297265286216899</v>
      </c>
      <c r="I55">
        <v>1.7350000000000001</v>
      </c>
      <c r="J55">
        <v>2.13155253622844</v>
      </c>
      <c r="K55">
        <v>1.5080202697199101</v>
      </c>
      <c r="N55">
        <v>3.0049999999999999</v>
      </c>
      <c r="O55">
        <v>2.2770000000000001</v>
      </c>
      <c r="P55">
        <v>4.9729999999999999</v>
      </c>
      <c r="Q55">
        <v>2.923</v>
      </c>
      <c r="R55">
        <v>3.702</v>
      </c>
      <c r="S55">
        <v>2.4529999999999998</v>
      </c>
    </row>
    <row r="56" spans="1:19" x14ac:dyDescent="0.2">
      <c r="A56">
        <f t="shared" si="0"/>
        <v>2037.75</v>
      </c>
      <c r="C56">
        <v>1.4870000000000001</v>
      </c>
      <c r="D56">
        <v>0.98699999999999999</v>
      </c>
      <c r="E56">
        <v>2.06</v>
      </c>
      <c r="F56">
        <v>1.7110000000000001</v>
      </c>
      <c r="G56">
        <v>1.0369999999999999</v>
      </c>
      <c r="H56" s="29">
        <v>2.3873715148551402</v>
      </c>
      <c r="I56">
        <v>1.7829999999999999</v>
      </c>
      <c r="J56">
        <v>2.2400364982523802</v>
      </c>
      <c r="K56">
        <v>1.48864135225932</v>
      </c>
      <c r="N56">
        <v>3.0339999999999998</v>
      </c>
      <c r="O56">
        <v>2.363</v>
      </c>
      <c r="P56">
        <v>5.0590000000000002</v>
      </c>
      <c r="Q56">
        <v>3.089</v>
      </c>
      <c r="R56">
        <v>3.76</v>
      </c>
      <c r="S56">
        <v>2.5630000000000002</v>
      </c>
    </row>
    <row r="57" spans="1:19" x14ac:dyDescent="0.2">
      <c r="A57">
        <f t="shared" si="0"/>
        <v>2038</v>
      </c>
      <c r="C57">
        <v>1.5069999999999999</v>
      </c>
      <c r="D57">
        <v>1.036</v>
      </c>
      <c r="E57">
        <v>2.097</v>
      </c>
      <c r="F57">
        <v>1.74</v>
      </c>
      <c r="G57">
        <v>1.099</v>
      </c>
      <c r="H57" s="29">
        <v>2.4440228026635</v>
      </c>
      <c r="I57">
        <v>1.831</v>
      </c>
      <c r="J57">
        <v>2.3464838128446002</v>
      </c>
      <c r="K57">
        <v>1.4702334673221</v>
      </c>
      <c r="N57">
        <v>3.0619999999999998</v>
      </c>
      <c r="O57">
        <v>2.4489999999999998</v>
      </c>
      <c r="P57">
        <v>5.1429999999999998</v>
      </c>
      <c r="Q57">
        <v>3.2559999999999998</v>
      </c>
      <c r="R57">
        <v>3.8180000000000001</v>
      </c>
      <c r="S57">
        <v>2.6739999999999999</v>
      </c>
    </row>
    <row r="58" spans="1:19" x14ac:dyDescent="0.2">
      <c r="A58">
        <f t="shared" si="0"/>
        <v>2038.25</v>
      </c>
      <c r="C58">
        <v>1.5269999999999999</v>
      </c>
      <c r="D58">
        <v>1.085</v>
      </c>
      <c r="E58">
        <v>2.133</v>
      </c>
      <c r="F58">
        <v>1.7669999999999999</v>
      </c>
      <c r="G58">
        <v>1.1619999999999999</v>
      </c>
      <c r="H58" s="29">
        <v>2.4996682615214398</v>
      </c>
      <c r="I58">
        <v>1.879</v>
      </c>
      <c r="J58">
        <v>2.4509415158121399</v>
      </c>
      <c r="K58">
        <v>1.4527587703770199</v>
      </c>
      <c r="N58">
        <v>3.09</v>
      </c>
      <c r="O58">
        <v>2.5339999999999998</v>
      </c>
      <c r="P58">
        <v>5.2240000000000002</v>
      </c>
      <c r="Q58">
        <v>3.4249999999999998</v>
      </c>
      <c r="R58">
        <v>3.875</v>
      </c>
      <c r="S58">
        <v>2.786</v>
      </c>
    </row>
    <row r="59" spans="1:19" x14ac:dyDescent="0.2">
      <c r="A59">
        <f t="shared" si="0"/>
        <v>2038.5</v>
      </c>
      <c r="C59">
        <v>1.5469999999999999</v>
      </c>
      <c r="D59">
        <v>1.135</v>
      </c>
      <c r="E59">
        <v>2.1680000000000001</v>
      </c>
      <c r="F59">
        <v>1.7949999999999999</v>
      </c>
      <c r="G59">
        <v>1.2250000000000001</v>
      </c>
      <c r="H59" s="29">
        <v>2.5543026477147999</v>
      </c>
      <c r="I59">
        <v>1.9259999999999999</v>
      </c>
      <c r="J59">
        <v>2.5534545734090499</v>
      </c>
      <c r="K59">
        <v>1.43618117034173</v>
      </c>
      <c r="N59">
        <v>3.1160000000000001</v>
      </c>
      <c r="O59">
        <v>2.6179999999999999</v>
      </c>
      <c r="P59">
        <v>5.3019999999999996</v>
      </c>
      <c r="Q59">
        <v>3.5939999999999999</v>
      </c>
      <c r="R59">
        <v>3.931</v>
      </c>
      <c r="S59">
        <v>2.8969999999999998</v>
      </c>
    </row>
    <row r="60" spans="1:19" x14ac:dyDescent="0.2">
      <c r="A60">
        <f t="shared" si="0"/>
        <v>2038.75</v>
      </c>
      <c r="C60">
        <v>1.5660000000000001</v>
      </c>
      <c r="D60">
        <v>1.1850000000000001</v>
      </c>
      <c r="E60">
        <v>2.2029999999999998</v>
      </c>
      <c r="F60">
        <v>1.821</v>
      </c>
      <c r="G60">
        <v>1.2889999999999999</v>
      </c>
      <c r="H60" s="29">
        <v>2.6079260509577198</v>
      </c>
      <c r="I60">
        <v>1.9730000000000001</v>
      </c>
      <c r="J60">
        <v>2.6540660088664798</v>
      </c>
      <c r="K60">
        <v>1.42046619478959</v>
      </c>
      <c r="N60">
        <v>3.1419999999999999</v>
      </c>
      <c r="O60">
        <v>2.702</v>
      </c>
      <c r="P60">
        <v>5.3780000000000001</v>
      </c>
      <c r="Q60">
        <v>3.7650000000000001</v>
      </c>
      <c r="R60">
        <v>3.9870000000000001</v>
      </c>
      <c r="S60">
        <v>3.0089999999999999</v>
      </c>
    </row>
    <row r="61" spans="1:19" x14ac:dyDescent="0.2">
      <c r="A61">
        <f t="shared" si="0"/>
        <v>2039</v>
      </c>
      <c r="C61">
        <v>1.585</v>
      </c>
      <c r="D61">
        <v>1.2350000000000001</v>
      </c>
      <c r="E61">
        <v>2.2360000000000002</v>
      </c>
      <c r="F61">
        <v>1.8480000000000001</v>
      </c>
      <c r="G61">
        <v>1.353</v>
      </c>
      <c r="H61" s="29">
        <v>2.6605426722650298</v>
      </c>
      <c r="I61">
        <v>2.0190000000000001</v>
      </c>
      <c r="J61">
        <v>2.7528170265048999</v>
      </c>
      <c r="K61">
        <v>1.40558087399243</v>
      </c>
      <c r="N61">
        <v>3.1669999999999998</v>
      </c>
      <c r="O61">
        <v>2.7839999999999998</v>
      </c>
      <c r="P61">
        <v>5.452</v>
      </c>
      <c r="Q61">
        <v>3.9359999999999999</v>
      </c>
      <c r="R61">
        <v>4.0430000000000001</v>
      </c>
      <c r="S61">
        <v>3.121</v>
      </c>
    </row>
    <row r="62" spans="1:19" x14ac:dyDescent="0.2">
      <c r="A62">
        <f t="shared" si="0"/>
        <v>2039.25</v>
      </c>
      <c r="C62">
        <v>1.6040000000000001</v>
      </c>
      <c r="D62">
        <v>1.2849999999999999</v>
      </c>
      <c r="E62">
        <v>2.27</v>
      </c>
      <c r="F62">
        <v>1.873</v>
      </c>
      <c r="G62">
        <v>1.4179999999999999</v>
      </c>
      <c r="H62" s="29">
        <v>2.71215986325433</v>
      </c>
      <c r="I62">
        <v>2.0659999999999998</v>
      </c>
      <c r="J62">
        <v>2.8497471313540501</v>
      </c>
      <c r="K62">
        <v>1.3914936405621501</v>
      </c>
      <c r="N62">
        <v>3.1909999999999998</v>
      </c>
      <c r="O62">
        <v>2.8660000000000001</v>
      </c>
      <c r="P62">
        <v>5.5229999999999997</v>
      </c>
      <c r="Q62">
        <v>4.1079999999999997</v>
      </c>
      <c r="R62">
        <v>4.0970000000000004</v>
      </c>
      <c r="S62">
        <v>3.234</v>
      </c>
    </row>
    <row r="63" spans="1:19" x14ac:dyDescent="0.2">
      <c r="A63">
        <f t="shared" si="0"/>
        <v>2039.5</v>
      </c>
      <c r="C63">
        <v>1.6220000000000001</v>
      </c>
      <c r="D63">
        <v>1.335</v>
      </c>
      <c r="E63">
        <v>2.302</v>
      </c>
      <c r="F63">
        <v>1.8979999999999999</v>
      </c>
      <c r="G63">
        <v>1.4830000000000001</v>
      </c>
      <c r="H63" s="29">
        <v>2.76278737163243</v>
      </c>
      <c r="I63">
        <v>2.1110000000000002</v>
      </c>
      <c r="J63">
        <v>2.9448942432113099</v>
      </c>
      <c r="K63">
        <v>1.37817424169944</v>
      </c>
      <c r="N63">
        <v>3.2149999999999999</v>
      </c>
      <c r="O63">
        <v>2.9470000000000001</v>
      </c>
      <c r="P63">
        <v>5.5919999999999996</v>
      </c>
      <c r="Q63">
        <v>4.28</v>
      </c>
      <c r="R63">
        <v>4.1520000000000001</v>
      </c>
      <c r="S63">
        <v>3.3460000000000001</v>
      </c>
    </row>
    <row r="64" spans="1:19" x14ac:dyDescent="0.2">
      <c r="A64">
        <f t="shared" si="0"/>
        <v>2039.75</v>
      </c>
      <c r="C64">
        <v>1.64</v>
      </c>
      <c r="D64">
        <v>1.385</v>
      </c>
      <c r="E64">
        <v>2.3340000000000001</v>
      </c>
      <c r="F64">
        <v>1.923</v>
      </c>
      <c r="G64">
        <v>1.548</v>
      </c>
      <c r="H64" s="29">
        <v>2.81243674924524</v>
      </c>
      <c r="I64">
        <v>2.157</v>
      </c>
      <c r="J64">
        <v>3.0382948045640101</v>
      </c>
      <c r="K64">
        <v>1.36559366162444</v>
      </c>
      <c r="N64">
        <v>3.238</v>
      </c>
      <c r="O64">
        <v>3.028</v>
      </c>
      <c r="P64">
        <v>5.6580000000000004</v>
      </c>
      <c r="Q64">
        <v>4.452</v>
      </c>
      <c r="R64">
        <v>4.2050000000000001</v>
      </c>
      <c r="S64">
        <v>3.4590000000000001</v>
      </c>
    </row>
    <row r="65" spans="1:19" x14ac:dyDescent="0.2">
      <c r="A65">
        <f t="shared" si="0"/>
        <v>2040</v>
      </c>
      <c r="C65">
        <v>1.6579999999999999</v>
      </c>
      <c r="D65">
        <v>1.4350000000000001</v>
      </c>
      <c r="E65">
        <v>2.3650000000000002</v>
      </c>
      <c r="F65">
        <v>1.948</v>
      </c>
      <c r="G65">
        <v>1.6140000000000001</v>
      </c>
      <c r="H65" s="29">
        <v>2.86112088824185</v>
      </c>
      <c r="I65">
        <v>2.202</v>
      </c>
      <c r="J65">
        <v>3.1299838820793799</v>
      </c>
      <c r="K65">
        <v>1.3537240522695799</v>
      </c>
      <c r="N65">
        <v>3.26</v>
      </c>
      <c r="O65">
        <v>3.1070000000000002</v>
      </c>
      <c r="P65">
        <v>5.7229999999999999</v>
      </c>
      <c r="Q65">
        <v>4.6239999999999997</v>
      </c>
      <c r="R65">
        <v>4.2590000000000003</v>
      </c>
      <c r="S65">
        <v>3.5710000000000002</v>
      </c>
    </row>
    <row r="66" spans="1:19" x14ac:dyDescent="0.2">
      <c r="A66">
        <f t="shared" si="0"/>
        <v>2040.25</v>
      </c>
      <c r="C66">
        <v>1.675</v>
      </c>
      <c r="D66">
        <v>1.4850000000000001</v>
      </c>
      <c r="E66">
        <v>2.3959999999999999</v>
      </c>
      <c r="F66">
        <v>1.9710000000000001</v>
      </c>
      <c r="G66">
        <v>1.679</v>
      </c>
      <c r="H66" s="29">
        <v>2.9088536581574602</v>
      </c>
      <c r="I66">
        <v>2.2469999999999999</v>
      </c>
      <c r="J66">
        <v>3.2199952615644598</v>
      </c>
      <c r="K66">
        <v>1.3425386707523601</v>
      </c>
      <c r="N66">
        <v>3.2810000000000001</v>
      </c>
      <c r="O66">
        <v>3.1859999999999999</v>
      </c>
      <c r="P66">
        <v>5.7859999999999996</v>
      </c>
      <c r="Q66">
        <v>4.7960000000000003</v>
      </c>
      <c r="R66">
        <v>4.3109999999999999</v>
      </c>
      <c r="S66">
        <v>3.6840000000000002</v>
      </c>
    </row>
    <row r="67" spans="1:19" x14ac:dyDescent="0.2">
      <c r="A67">
        <f t="shared" si="0"/>
        <v>2040.5</v>
      </c>
      <c r="C67">
        <v>1.6919999999999999</v>
      </c>
      <c r="D67">
        <v>1.5349999999999999</v>
      </c>
      <c r="E67">
        <v>2.4260000000000002</v>
      </c>
      <c r="F67">
        <v>1.9950000000000001</v>
      </c>
      <c r="G67">
        <v>1.7450000000000001</v>
      </c>
      <c r="H67" s="29">
        <v>2.95564962246385</v>
      </c>
      <c r="I67">
        <v>2.2919999999999998</v>
      </c>
      <c r="J67">
        <v>3.30836153645037</v>
      </c>
      <c r="K67">
        <v>1.33201182247154</v>
      </c>
      <c r="N67">
        <v>3.302</v>
      </c>
      <c r="O67">
        <v>3.2629999999999999</v>
      </c>
      <c r="P67">
        <v>5.8460000000000001</v>
      </c>
      <c r="Q67">
        <v>4.9669999999999996</v>
      </c>
      <c r="R67">
        <v>4.3630000000000004</v>
      </c>
      <c r="S67">
        <v>3.7970000000000002</v>
      </c>
    </row>
    <row r="68" spans="1:19" x14ac:dyDescent="0.2">
      <c r="A68">
        <f t="shared" si="0"/>
        <v>2040.75</v>
      </c>
      <c r="C68">
        <v>1.708</v>
      </c>
      <c r="D68">
        <v>1.5860000000000001</v>
      </c>
      <c r="E68">
        <v>2.4550000000000001</v>
      </c>
      <c r="F68">
        <v>2.0179999999999998</v>
      </c>
      <c r="G68">
        <v>1.8109999999999999</v>
      </c>
      <c r="H68" s="29">
        <v>3.0015238176498298</v>
      </c>
      <c r="I68">
        <v>2.3359999999999999</v>
      </c>
      <c r="J68">
        <v>3.3951141899552502</v>
      </c>
      <c r="K68">
        <v>1.3221188089264699</v>
      </c>
      <c r="N68">
        <v>3.3220000000000001</v>
      </c>
      <c r="O68">
        <v>3.34</v>
      </c>
      <c r="P68">
        <v>5.9050000000000002</v>
      </c>
      <c r="Q68">
        <v>5.1379999999999999</v>
      </c>
      <c r="R68">
        <v>4.415</v>
      </c>
      <c r="S68">
        <v>3.9089999999999998</v>
      </c>
    </row>
    <row r="69" spans="1:19" x14ac:dyDescent="0.2">
      <c r="A69">
        <f t="shared" si="0"/>
        <v>2041</v>
      </c>
      <c r="C69">
        <v>1.7250000000000001</v>
      </c>
      <c r="D69">
        <v>1.6359999999999999</v>
      </c>
      <c r="E69">
        <v>2.484</v>
      </c>
      <c r="F69">
        <v>2.04</v>
      </c>
      <c r="G69">
        <v>1.8779999999999999</v>
      </c>
      <c r="H69" s="29">
        <v>3.0464915814860798</v>
      </c>
      <c r="I69">
        <v>2.379</v>
      </c>
      <c r="J69">
        <v>3.48028367115506</v>
      </c>
      <c r="K69">
        <v>1.3128358795538599</v>
      </c>
      <c r="N69">
        <v>3.3410000000000002</v>
      </c>
      <c r="O69">
        <v>3.415</v>
      </c>
      <c r="P69">
        <v>5.9610000000000003</v>
      </c>
      <c r="Q69">
        <v>5.3079999999999998</v>
      </c>
      <c r="R69">
        <v>4.4669999999999996</v>
      </c>
      <c r="S69">
        <v>4.0209999999999999</v>
      </c>
    </row>
    <row r="70" spans="1:19" x14ac:dyDescent="0.2">
      <c r="A70">
        <f t="shared" si="0"/>
        <v>2041.25</v>
      </c>
      <c r="C70">
        <v>1.7410000000000001</v>
      </c>
      <c r="D70">
        <v>1.6850000000000001</v>
      </c>
      <c r="E70">
        <v>2.512</v>
      </c>
      <c r="F70">
        <v>2.0630000000000002</v>
      </c>
      <c r="G70">
        <v>1.944</v>
      </c>
      <c r="H70" s="29">
        <v>3.09056841993822</v>
      </c>
      <c r="I70">
        <v>2.423</v>
      </c>
      <c r="J70">
        <v>3.5638994652471201</v>
      </c>
      <c r="K70">
        <v>1.3041401870278799</v>
      </c>
      <c r="N70">
        <v>3.36</v>
      </c>
      <c r="O70">
        <v>3.49</v>
      </c>
      <c r="P70">
        <v>6.016</v>
      </c>
      <c r="Q70">
        <v>5.4770000000000003</v>
      </c>
      <c r="R70">
        <v>4.5170000000000003</v>
      </c>
      <c r="S70">
        <v>4.1340000000000003</v>
      </c>
    </row>
    <row r="71" spans="1:19" x14ac:dyDescent="0.2">
      <c r="A71">
        <f t="shared" si="0"/>
        <v>2041.5</v>
      </c>
      <c r="C71">
        <v>1.7569999999999999</v>
      </c>
      <c r="D71">
        <v>1.7350000000000001</v>
      </c>
      <c r="E71">
        <v>2.54</v>
      </c>
      <c r="F71">
        <v>2.0840000000000001</v>
      </c>
      <c r="G71">
        <v>2.0099999999999998</v>
      </c>
      <c r="H71" s="29">
        <v>3.1337699044292302</v>
      </c>
      <c r="I71">
        <v>2.4660000000000002</v>
      </c>
      <c r="J71">
        <v>3.6459901583144299</v>
      </c>
      <c r="K71">
        <v>1.2960097455830499</v>
      </c>
      <c r="N71">
        <v>3.3780000000000001</v>
      </c>
      <c r="O71">
        <v>3.5640000000000001</v>
      </c>
      <c r="P71">
        <v>6.07</v>
      </c>
      <c r="Q71">
        <v>5.6449999999999996</v>
      </c>
      <c r="R71">
        <v>4.5679999999999996</v>
      </c>
      <c r="S71">
        <v>4.2460000000000004</v>
      </c>
    </row>
    <row r="72" spans="1:19" x14ac:dyDescent="0.2">
      <c r="A72">
        <f t="shared" si="0"/>
        <v>2041.75</v>
      </c>
      <c r="C72">
        <v>1.772</v>
      </c>
      <c r="D72">
        <v>1.7849999999999999</v>
      </c>
      <c r="E72">
        <v>2.5670000000000002</v>
      </c>
      <c r="F72">
        <v>2.1059999999999999</v>
      </c>
      <c r="G72">
        <v>2.0760000000000001</v>
      </c>
      <c r="H72" s="29">
        <v>3.17611159291127</v>
      </c>
      <c r="I72">
        <v>2.508</v>
      </c>
      <c r="J72">
        <v>3.72658349692444</v>
      </c>
      <c r="K72">
        <v>1.28842339200324</v>
      </c>
      <c r="N72">
        <v>3.395</v>
      </c>
      <c r="O72">
        <v>3.6360000000000001</v>
      </c>
      <c r="P72">
        <v>6.1210000000000004</v>
      </c>
      <c r="Q72">
        <v>5.8129999999999997</v>
      </c>
      <c r="R72">
        <v>4.6180000000000003</v>
      </c>
      <c r="S72">
        <v>4.3579999999999997</v>
      </c>
    </row>
    <row r="73" spans="1:19" x14ac:dyDescent="0.2">
      <c r="A73">
        <f t="shared" si="0"/>
        <v>2042</v>
      </c>
      <c r="C73">
        <v>1.788</v>
      </c>
      <c r="D73">
        <v>1.835</v>
      </c>
      <c r="E73">
        <v>2.593</v>
      </c>
      <c r="F73">
        <v>2.1269999999999998</v>
      </c>
      <c r="G73">
        <v>2.1429999999999998</v>
      </c>
      <c r="H73" s="29">
        <v>3.2176089695899002</v>
      </c>
      <c r="I73">
        <v>2.5510000000000002</v>
      </c>
      <c r="J73">
        <v>3.8057064428985901</v>
      </c>
      <c r="K73">
        <v>1.2813607489952199</v>
      </c>
      <c r="N73">
        <v>3.4119999999999999</v>
      </c>
      <c r="O73">
        <v>3.7080000000000002</v>
      </c>
      <c r="P73">
        <v>6.1710000000000003</v>
      </c>
      <c r="Q73">
        <v>5.9790000000000001</v>
      </c>
      <c r="R73">
        <v>4.6680000000000001</v>
      </c>
      <c r="S73">
        <v>4.4690000000000003</v>
      </c>
    </row>
    <row r="74" spans="1:19" x14ac:dyDescent="0.2">
      <c r="A74">
        <f t="shared" si="0"/>
        <v>2042.25</v>
      </c>
      <c r="C74">
        <v>1.8029999999999999</v>
      </c>
      <c r="D74">
        <v>1.8839999999999999</v>
      </c>
      <c r="E74">
        <v>2.6190000000000002</v>
      </c>
      <c r="F74">
        <v>2.1469999999999998</v>
      </c>
      <c r="G74">
        <v>2.2090000000000001</v>
      </c>
      <c r="H74" s="29">
        <v>3.25827739924615</v>
      </c>
      <c r="I74">
        <v>2.593</v>
      </c>
      <c r="J74">
        <v>3.8833852235833701</v>
      </c>
      <c r="K74">
        <v>1.2748021907056899</v>
      </c>
      <c r="N74">
        <v>3.4289999999999998</v>
      </c>
      <c r="O74">
        <v>3.7789999999999999</v>
      </c>
      <c r="P74">
        <v>6.2190000000000003</v>
      </c>
      <c r="Q74">
        <v>6.1440000000000001</v>
      </c>
      <c r="R74">
        <v>4.7169999999999996</v>
      </c>
      <c r="S74">
        <v>4.5810000000000004</v>
      </c>
    </row>
    <row r="75" spans="1:19" x14ac:dyDescent="0.2">
      <c r="A75">
        <f t="shared" ref="A75:A105" si="1">A74+0.25</f>
        <v>2042.5</v>
      </c>
      <c r="C75">
        <v>1.8169999999999999</v>
      </c>
      <c r="D75">
        <v>1.9330000000000001</v>
      </c>
      <c r="E75">
        <v>2.645</v>
      </c>
      <c r="F75">
        <v>2.1669999999999998</v>
      </c>
      <c r="G75">
        <v>2.2749999999999999</v>
      </c>
      <c r="H75" s="29">
        <v>3.2981320929629399</v>
      </c>
      <c r="I75">
        <v>2.6339999999999999</v>
      </c>
      <c r="J75">
        <v>3.9596453779539802</v>
      </c>
      <c r="K75">
        <v>1.2687288101931</v>
      </c>
      <c r="N75">
        <v>3.4449999999999998</v>
      </c>
      <c r="O75">
        <v>3.8479999999999999</v>
      </c>
      <c r="P75">
        <v>6.266</v>
      </c>
      <c r="Q75">
        <v>6.3070000000000004</v>
      </c>
      <c r="R75">
        <v>4.766</v>
      </c>
      <c r="S75">
        <v>4.6920000000000002</v>
      </c>
    </row>
    <row r="76" spans="1:19" x14ac:dyDescent="0.2">
      <c r="A76">
        <f t="shared" si="1"/>
        <v>2042.75</v>
      </c>
      <c r="C76">
        <v>1.8320000000000001</v>
      </c>
      <c r="D76">
        <v>1.982</v>
      </c>
      <c r="E76">
        <v>2.67</v>
      </c>
      <c r="F76">
        <v>2.1869999999999998</v>
      </c>
      <c r="G76">
        <v>2.3410000000000002</v>
      </c>
      <c r="H76" s="29">
        <v>3.3371880827422</v>
      </c>
      <c r="I76">
        <v>2.6749999999999998</v>
      </c>
      <c r="J76">
        <v>4.03451179886323</v>
      </c>
      <c r="K76">
        <v>1.26312238868529</v>
      </c>
      <c r="N76">
        <v>3.46</v>
      </c>
      <c r="O76">
        <v>3.9169999999999998</v>
      </c>
      <c r="P76">
        <v>6.3109999999999999</v>
      </c>
      <c r="Q76">
        <v>6.4690000000000003</v>
      </c>
      <c r="R76">
        <v>4.8150000000000004</v>
      </c>
      <c r="S76">
        <v>4.8029999999999999</v>
      </c>
    </row>
    <row r="77" spans="1:19" x14ac:dyDescent="0.2">
      <c r="A77">
        <f t="shared" si="1"/>
        <v>2043</v>
      </c>
      <c r="C77">
        <v>1.8460000000000001</v>
      </c>
      <c r="D77">
        <v>2.0310000000000001</v>
      </c>
      <c r="E77">
        <v>2.694</v>
      </c>
      <c r="F77">
        <v>2.2069999999999999</v>
      </c>
      <c r="G77">
        <v>2.407</v>
      </c>
      <c r="H77" s="29">
        <v>3.3754602030402499</v>
      </c>
      <c r="I77">
        <v>2.7160000000000002</v>
      </c>
      <c r="J77">
        <v>4.1080087717331502</v>
      </c>
      <c r="K77">
        <v>1.25796536648492</v>
      </c>
      <c r="N77">
        <v>3.4750000000000001</v>
      </c>
      <c r="O77">
        <v>3.984</v>
      </c>
      <c r="P77">
        <v>6.3550000000000004</v>
      </c>
      <c r="Q77">
        <v>6.63</v>
      </c>
      <c r="R77">
        <v>4.8630000000000004</v>
      </c>
      <c r="S77">
        <v>4.9139999999999997</v>
      </c>
    </row>
    <row r="78" spans="1:19" x14ac:dyDescent="0.2">
      <c r="A78">
        <f t="shared" si="1"/>
        <v>2043.25</v>
      </c>
      <c r="C78">
        <v>1.86</v>
      </c>
      <c r="D78">
        <v>2.08</v>
      </c>
      <c r="E78">
        <v>2.718</v>
      </c>
      <c r="F78">
        <v>2.226</v>
      </c>
      <c r="G78">
        <v>2.4729999999999999</v>
      </c>
      <c r="H78" s="29">
        <v>3.41296307767103</v>
      </c>
      <c r="I78">
        <v>2.7559999999999998</v>
      </c>
      <c r="J78">
        <v>4.1801600099771399</v>
      </c>
      <c r="K78">
        <v>1.25324081540266</v>
      </c>
      <c r="N78">
        <v>3.49</v>
      </c>
      <c r="O78">
        <v>4.0510000000000002</v>
      </c>
      <c r="P78">
        <v>6.3970000000000002</v>
      </c>
      <c r="Q78">
        <v>6.7889999999999997</v>
      </c>
      <c r="R78">
        <v>4.9109999999999996</v>
      </c>
      <c r="S78">
        <v>5.0250000000000004</v>
      </c>
    </row>
    <row r="79" spans="1:19" x14ac:dyDescent="0.2">
      <c r="A79">
        <f t="shared" si="1"/>
        <v>2043.5</v>
      </c>
      <c r="C79">
        <v>1.873</v>
      </c>
      <c r="D79">
        <v>2.1280000000000001</v>
      </c>
      <c r="E79">
        <v>2.742</v>
      </c>
      <c r="F79">
        <v>2.2450000000000001</v>
      </c>
      <c r="G79">
        <v>2.5390000000000001</v>
      </c>
      <c r="H79" s="29">
        <v>3.4497111108586802</v>
      </c>
      <c r="I79">
        <v>2.7959999999999998</v>
      </c>
      <c r="J79">
        <v>4.2509886874145399</v>
      </c>
      <c r="K79">
        <v>1.2489324126088699</v>
      </c>
      <c r="N79">
        <v>3.504</v>
      </c>
      <c r="O79">
        <v>4.1159999999999997</v>
      </c>
      <c r="P79">
        <v>6.4379999999999997</v>
      </c>
      <c r="Q79">
        <v>6.9470000000000001</v>
      </c>
      <c r="R79">
        <v>4.9589999999999996</v>
      </c>
      <c r="S79">
        <v>5.1349999999999998</v>
      </c>
    </row>
    <row r="80" spans="1:19" x14ac:dyDescent="0.2">
      <c r="A80">
        <f t="shared" si="1"/>
        <v>2043.75</v>
      </c>
      <c r="C80">
        <v>1.887</v>
      </c>
      <c r="D80">
        <v>2.177</v>
      </c>
      <c r="E80">
        <v>2.7650000000000001</v>
      </c>
      <c r="F80">
        <v>2.2629999999999999</v>
      </c>
      <c r="G80">
        <v>2.6040000000000001</v>
      </c>
      <c r="H80" s="29">
        <v>3.48571848148779</v>
      </c>
      <c r="I80">
        <v>2.8359999999999999</v>
      </c>
      <c r="J80">
        <v>4.3205174679279796</v>
      </c>
      <c r="K80">
        <v>1.2450244158142401</v>
      </c>
      <c r="N80">
        <v>3.5169999999999999</v>
      </c>
      <c r="O80">
        <v>4.18</v>
      </c>
      <c r="P80">
        <v>6.4779999999999998</v>
      </c>
      <c r="Q80">
        <v>7.1029999999999998</v>
      </c>
      <c r="R80">
        <v>5.0060000000000002</v>
      </c>
      <c r="S80">
        <v>5.2450000000000001</v>
      </c>
    </row>
    <row r="81" spans="1:19" x14ac:dyDescent="0.2">
      <c r="A81">
        <f t="shared" si="1"/>
        <v>2044</v>
      </c>
      <c r="C81">
        <v>1.9</v>
      </c>
      <c r="D81">
        <v>2.2250000000000001</v>
      </c>
      <c r="E81">
        <v>2.7869999999999999</v>
      </c>
      <c r="F81">
        <v>2.2810000000000001</v>
      </c>
      <c r="G81">
        <v>2.67</v>
      </c>
      <c r="H81" s="29">
        <v>3.5209991398040401</v>
      </c>
      <c r="I81">
        <v>2.875</v>
      </c>
      <c r="J81">
        <v>4.3887685325944501</v>
      </c>
      <c r="K81">
        <v>1.2415016396891501</v>
      </c>
      <c r="N81">
        <v>3.53</v>
      </c>
      <c r="O81">
        <v>4.2439999999999998</v>
      </c>
      <c r="P81">
        <v>6.5170000000000003</v>
      </c>
      <c r="Q81">
        <v>7.2569999999999997</v>
      </c>
      <c r="R81">
        <v>5.0529999999999999</v>
      </c>
      <c r="S81">
        <v>5.3540000000000001</v>
      </c>
    </row>
    <row r="82" spans="1:19" x14ac:dyDescent="0.2">
      <c r="A82">
        <f t="shared" si="1"/>
        <v>2044.25</v>
      </c>
      <c r="C82">
        <v>1.913</v>
      </c>
      <c r="D82">
        <v>2.2730000000000001</v>
      </c>
      <c r="E82">
        <v>2.81</v>
      </c>
      <c r="F82">
        <v>2.2989999999999999</v>
      </c>
      <c r="G82">
        <v>2.7349999999999999</v>
      </c>
      <c r="H82" s="29">
        <v>3.5555668059819201</v>
      </c>
      <c r="I82">
        <v>2.9140000000000001</v>
      </c>
      <c r="J82">
        <v>4.4557636045014997</v>
      </c>
      <c r="K82">
        <v>1.2383494334520899</v>
      </c>
      <c r="N82">
        <v>3.5430000000000001</v>
      </c>
      <c r="O82">
        <v>4.306</v>
      </c>
      <c r="P82">
        <v>6.5540000000000003</v>
      </c>
      <c r="Q82">
        <v>7.41</v>
      </c>
      <c r="R82">
        <v>5.0999999999999996</v>
      </c>
      <c r="S82">
        <v>5.4630000000000001</v>
      </c>
    </row>
    <row r="83" spans="1:19" x14ac:dyDescent="0.2">
      <c r="A83">
        <f t="shared" si="1"/>
        <v>2044.5</v>
      </c>
      <c r="C83">
        <v>1.9259999999999999</v>
      </c>
      <c r="D83">
        <v>2.3199999999999998</v>
      </c>
      <c r="E83">
        <v>2.831</v>
      </c>
      <c r="F83">
        <v>2.3170000000000002</v>
      </c>
      <c r="G83">
        <v>2.8</v>
      </c>
      <c r="H83" s="29">
        <v>3.5894349701036998</v>
      </c>
      <c r="I83">
        <v>2.952</v>
      </c>
      <c r="J83">
        <v>4.52152397145084</v>
      </c>
      <c r="K83">
        <v>1.2355536595512899</v>
      </c>
      <c r="N83">
        <v>3.5550000000000002</v>
      </c>
      <c r="O83">
        <v>4.367</v>
      </c>
      <c r="P83">
        <v>6.59</v>
      </c>
      <c r="Q83">
        <v>7.56</v>
      </c>
      <c r="R83">
        <v>5.1470000000000002</v>
      </c>
      <c r="S83">
        <v>5.5720000000000001</v>
      </c>
    </row>
    <row r="84" spans="1:19" x14ac:dyDescent="0.2">
      <c r="A84">
        <f t="shared" si="1"/>
        <v>2044.75</v>
      </c>
      <c r="C84">
        <v>1.9379999999999999</v>
      </c>
      <c r="D84">
        <v>2.367</v>
      </c>
      <c r="E84">
        <v>2.8519999999999999</v>
      </c>
      <c r="F84">
        <v>2.3340000000000001</v>
      </c>
      <c r="G84">
        <v>2.8639999999999999</v>
      </c>
      <c r="H84" s="29">
        <v>3.6226168931967999</v>
      </c>
      <c r="I84">
        <v>2.99</v>
      </c>
      <c r="J84">
        <v>4.5860705067254601</v>
      </c>
      <c r="K84">
        <v>1.23310067338009</v>
      </c>
      <c r="N84">
        <v>3.5670000000000002</v>
      </c>
      <c r="O84">
        <v>4.4269999999999996</v>
      </c>
      <c r="P84">
        <v>6.625</v>
      </c>
      <c r="Q84">
        <v>7.7089999999999996</v>
      </c>
      <c r="R84">
        <v>5.1929999999999996</v>
      </c>
      <c r="S84">
        <v>5.681</v>
      </c>
    </row>
    <row r="85" spans="1:19" x14ac:dyDescent="0.2">
      <c r="A85">
        <f t="shared" si="1"/>
        <v>2045</v>
      </c>
      <c r="C85">
        <v>1.9510000000000001</v>
      </c>
      <c r="D85">
        <v>2.4140000000000001</v>
      </c>
      <c r="E85">
        <v>2.8730000000000002</v>
      </c>
      <c r="F85">
        <v>2.351</v>
      </c>
      <c r="G85">
        <v>2.9289999999999998</v>
      </c>
      <c r="H85" s="29">
        <v>3.6551256090524502</v>
      </c>
      <c r="I85">
        <v>3.028</v>
      </c>
      <c r="J85">
        <v>4.6494236880940303</v>
      </c>
      <c r="K85">
        <v>1.2309773039649501</v>
      </c>
      <c r="N85">
        <v>3.5790000000000002</v>
      </c>
      <c r="O85">
        <v>4.4859999999999998</v>
      </c>
      <c r="P85">
        <v>6.6589999999999998</v>
      </c>
      <c r="Q85">
        <v>7.8559999999999999</v>
      </c>
      <c r="R85">
        <v>5.2389999999999999</v>
      </c>
      <c r="S85">
        <v>5.7889999999999997</v>
      </c>
    </row>
    <row r="86" spans="1:19" x14ac:dyDescent="0.2">
      <c r="A86">
        <f t="shared" si="1"/>
        <v>2045.25</v>
      </c>
      <c r="C86">
        <v>1.9630000000000001</v>
      </c>
      <c r="D86">
        <v>2.4609999999999999</v>
      </c>
      <c r="E86">
        <v>2.8940000000000001</v>
      </c>
      <c r="F86">
        <v>2.367</v>
      </c>
      <c r="G86">
        <v>2.9929999999999999</v>
      </c>
      <c r="H86" s="29">
        <v>3.6869739266146899</v>
      </c>
      <c r="I86">
        <v>3.0649999999999999</v>
      </c>
      <c r="J86">
        <v>4.7116036152004499</v>
      </c>
      <c r="K86">
        <v>1.22917083556991</v>
      </c>
      <c r="N86">
        <v>3.59</v>
      </c>
      <c r="O86">
        <v>4.5449999999999999</v>
      </c>
      <c r="P86">
        <v>6.6909999999999998</v>
      </c>
      <c r="Q86">
        <v>8.0020000000000007</v>
      </c>
      <c r="R86">
        <v>5.2850000000000001</v>
      </c>
      <c r="S86">
        <v>5.8970000000000002</v>
      </c>
    </row>
    <row r="87" spans="1:19" x14ac:dyDescent="0.2">
      <c r="A87">
        <f t="shared" si="1"/>
        <v>2045.5</v>
      </c>
      <c r="C87">
        <v>1.9750000000000001</v>
      </c>
      <c r="D87">
        <v>2.5070000000000001</v>
      </c>
      <c r="E87">
        <v>2.9140000000000001</v>
      </c>
      <c r="F87">
        <v>2.383</v>
      </c>
      <c r="G87">
        <v>3.0569999999999999</v>
      </c>
      <c r="H87" s="29">
        <v>3.7181744327736301</v>
      </c>
      <c r="I87">
        <v>3.1019999999999999</v>
      </c>
      <c r="J87">
        <v>4.7726300254850402</v>
      </c>
      <c r="K87">
        <v>1.22766899016862</v>
      </c>
      <c r="N87">
        <v>3.601</v>
      </c>
      <c r="O87">
        <v>4.6020000000000003</v>
      </c>
      <c r="P87">
        <v>6.7229999999999999</v>
      </c>
      <c r="Q87">
        <v>8.1449999999999996</v>
      </c>
      <c r="R87">
        <v>5.3310000000000004</v>
      </c>
      <c r="S87">
        <v>6.0039999999999996</v>
      </c>
    </row>
    <row r="88" spans="1:19" x14ac:dyDescent="0.2">
      <c r="A88">
        <f t="shared" si="1"/>
        <v>2045.75</v>
      </c>
      <c r="C88">
        <v>1.986</v>
      </c>
      <c r="D88">
        <v>2.5529999999999999</v>
      </c>
      <c r="E88">
        <v>2.9329999999999998</v>
      </c>
      <c r="F88">
        <v>2.399</v>
      </c>
      <c r="G88">
        <v>3.12</v>
      </c>
      <c r="H88" s="29">
        <v>3.7487394954373698</v>
      </c>
      <c r="I88">
        <v>3.1379999999999999</v>
      </c>
      <c r="J88">
        <v>4.8325223087635498</v>
      </c>
      <c r="K88">
        <v>1.2264599107351699</v>
      </c>
      <c r="N88">
        <v>3.6110000000000002</v>
      </c>
      <c r="O88">
        <v>4.6580000000000004</v>
      </c>
      <c r="P88">
        <v>6.7539999999999996</v>
      </c>
      <c r="Q88">
        <v>8.2859999999999996</v>
      </c>
      <c r="R88">
        <v>5.3769999999999998</v>
      </c>
      <c r="S88">
        <v>6.1109999999999998</v>
      </c>
    </row>
    <row r="89" spans="1:19" x14ac:dyDescent="0.2">
      <c r="A89">
        <f t="shared" si="1"/>
        <v>2046</v>
      </c>
      <c r="C89">
        <v>1.998</v>
      </c>
      <c r="D89">
        <v>2.5990000000000002</v>
      </c>
      <c r="E89">
        <v>2.952</v>
      </c>
      <c r="F89">
        <v>2.415</v>
      </c>
      <c r="G89">
        <v>3.1829999999999998</v>
      </c>
      <c r="H89" s="29">
        <v>3.7786812667893699</v>
      </c>
      <c r="I89">
        <v>3.1739999999999999</v>
      </c>
      <c r="J89">
        <v>4.8912995205837904</v>
      </c>
      <c r="K89">
        <v>1.22553214530702</v>
      </c>
      <c r="N89">
        <v>3.6219999999999999</v>
      </c>
      <c r="O89">
        <v>4.7130000000000001</v>
      </c>
      <c r="P89">
        <v>6.7830000000000004</v>
      </c>
      <c r="Q89">
        <v>8.4260000000000002</v>
      </c>
      <c r="R89">
        <v>5.4219999999999997</v>
      </c>
      <c r="S89">
        <v>6.218</v>
      </c>
    </row>
    <row r="90" spans="1:19" x14ac:dyDescent="0.2">
      <c r="A90">
        <f t="shared" si="1"/>
        <v>2046.25</v>
      </c>
      <c r="C90">
        <v>2.0089999999999999</v>
      </c>
      <c r="D90">
        <v>2.645</v>
      </c>
      <c r="E90">
        <v>2.9710000000000001</v>
      </c>
      <c r="F90">
        <v>2.4300000000000002</v>
      </c>
      <c r="G90">
        <v>3.246</v>
      </c>
      <c r="H90" s="29">
        <v>3.8080116866521898</v>
      </c>
      <c r="I90">
        <v>3.21</v>
      </c>
      <c r="J90">
        <v>4.9489803944680197</v>
      </c>
      <c r="K90">
        <v>1.2248746317827199</v>
      </c>
      <c r="N90">
        <v>3.6309999999999998</v>
      </c>
      <c r="O90">
        <v>4.7670000000000003</v>
      </c>
      <c r="P90">
        <v>6.8120000000000003</v>
      </c>
      <c r="Q90">
        <v>8.5630000000000006</v>
      </c>
      <c r="R90">
        <v>5.4669999999999996</v>
      </c>
      <c r="S90">
        <v>6.3239999999999998</v>
      </c>
    </row>
    <row r="91" spans="1:19" x14ac:dyDescent="0.2">
      <c r="A91">
        <f t="shared" si="1"/>
        <v>2046.5</v>
      </c>
      <c r="C91">
        <v>2.02</v>
      </c>
      <c r="D91">
        <v>2.69</v>
      </c>
      <c r="E91">
        <v>2.99</v>
      </c>
      <c r="F91">
        <v>2.4449999999999998</v>
      </c>
      <c r="G91">
        <v>3.3090000000000002</v>
      </c>
      <c r="H91" s="29">
        <v>3.8367424859083998</v>
      </c>
      <c r="I91">
        <v>3.2450000000000001</v>
      </c>
      <c r="J91">
        <v>5.0055833531423399</v>
      </c>
      <c r="K91">
        <v>1.22447668340641</v>
      </c>
      <c r="N91">
        <v>3.641</v>
      </c>
      <c r="O91">
        <v>4.82</v>
      </c>
      <c r="P91">
        <v>6.84</v>
      </c>
      <c r="Q91">
        <v>8.6989999999999998</v>
      </c>
      <c r="R91">
        <v>5.5129999999999999</v>
      </c>
      <c r="S91">
        <v>6.43</v>
      </c>
    </row>
    <row r="92" spans="1:19" x14ac:dyDescent="0.2">
      <c r="A92">
        <f t="shared" si="1"/>
        <v>2046.75</v>
      </c>
      <c r="C92">
        <v>2.0310000000000001</v>
      </c>
      <c r="D92">
        <v>2.7349999999999999</v>
      </c>
      <c r="E92">
        <v>3.008</v>
      </c>
      <c r="F92">
        <v>2.46</v>
      </c>
      <c r="G92">
        <v>3.371</v>
      </c>
      <c r="H92" s="29">
        <v>3.8648851899363801</v>
      </c>
      <c r="I92">
        <v>3.28</v>
      </c>
      <c r="J92">
        <v>5.0611265188395</v>
      </c>
      <c r="K92">
        <v>1.22432797491275</v>
      </c>
      <c r="N92">
        <v>3.65</v>
      </c>
      <c r="O92">
        <v>4.8719999999999999</v>
      </c>
      <c r="P92">
        <v>6.867</v>
      </c>
      <c r="Q92">
        <v>8.8320000000000007</v>
      </c>
      <c r="R92">
        <v>5.5579999999999998</v>
      </c>
      <c r="S92">
        <v>6.5359999999999996</v>
      </c>
    </row>
    <row r="93" spans="1:19" x14ac:dyDescent="0.2">
      <c r="A93">
        <f t="shared" si="1"/>
        <v>2047</v>
      </c>
      <c r="C93">
        <v>2.0409999999999999</v>
      </c>
      <c r="D93">
        <v>2.7789999999999999</v>
      </c>
      <c r="E93">
        <v>3.0249999999999999</v>
      </c>
      <c r="F93">
        <v>2.4750000000000001</v>
      </c>
      <c r="G93">
        <v>3.4329999999999998</v>
      </c>
      <c r="H93" s="29">
        <v>3.8924511220303302</v>
      </c>
      <c r="I93">
        <v>3.3149999999999999</v>
      </c>
      <c r="J93">
        <v>5.1156277227660398</v>
      </c>
      <c r="K93">
        <v>1.2244185292862699</v>
      </c>
      <c r="N93">
        <v>3.6589999999999998</v>
      </c>
      <c r="O93">
        <v>4.923</v>
      </c>
      <c r="P93">
        <v>6.8929999999999998</v>
      </c>
      <c r="Q93">
        <v>8.9640000000000004</v>
      </c>
      <c r="R93">
        <v>5.6029999999999998</v>
      </c>
      <c r="S93">
        <v>6.641</v>
      </c>
    </row>
    <row r="94" spans="1:19" x14ac:dyDescent="0.2">
      <c r="A94">
        <f t="shared" si="1"/>
        <v>2047.25</v>
      </c>
      <c r="C94">
        <v>2.052</v>
      </c>
      <c r="D94">
        <v>2.823</v>
      </c>
      <c r="E94">
        <v>3.0430000000000001</v>
      </c>
      <c r="F94">
        <v>2.4889999999999999</v>
      </c>
      <c r="G94">
        <v>3.4940000000000002</v>
      </c>
      <c r="H94" s="29">
        <v>3.9194514067835202</v>
      </c>
      <c r="I94">
        <v>3.3490000000000002</v>
      </c>
      <c r="J94">
        <v>5.1691045137998497</v>
      </c>
      <c r="K94">
        <v>1.2247387051118701</v>
      </c>
      <c r="N94">
        <v>3.6680000000000001</v>
      </c>
      <c r="O94">
        <v>4.9729999999999999</v>
      </c>
      <c r="P94">
        <v>6.9180000000000001</v>
      </c>
      <c r="Q94">
        <v>9.0939999999999994</v>
      </c>
      <c r="R94">
        <v>5.6479999999999997</v>
      </c>
      <c r="S94">
        <v>6.7460000000000004</v>
      </c>
    </row>
    <row r="95" spans="1:19" x14ac:dyDescent="0.2">
      <c r="A95">
        <f t="shared" si="1"/>
        <v>2047.5</v>
      </c>
      <c r="C95">
        <v>2.0619999999999998</v>
      </c>
      <c r="D95">
        <v>2.867</v>
      </c>
      <c r="E95">
        <v>3.0590000000000002</v>
      </c>
      <c r="F95">
        <v>2.5030000000000001</v>
      </c>
      <c r="G95">
        <v>3.5550000000000002</v>
      </c>
      <c r="H95" s="29">
        <v>3.9458969734207798</v>
      </c>
      <c r="I95">
        <v>3.383</v>
      </c>
      <c r="J95">
        <v>5.2215741664987503</v>
      </c>
      <c r="K95">
        <v>1.2252791844762501</v>
      </c>
      <c r="N95">
        <v>3.6760000000000002</v>
      </c>
      <c r="O95">
        <v>5.0229999999999997</v>
      </c>
      <c r="P95">
        <v>6.9420000000000002</v>
      </c>
      <c r="Q95">
        <v>9.2210000000000001</v>
      </c>
      <c r="R95">
        <v>5.6929999999999996</v>
      </c>
      <c r="S95">
        <v>6.85</v>
      </c>
    </row>
    <row r="96" spans="1:19" x14ac:dyDescent="0.2">
      <c r="A96">
        <f t="shared" si="1"/>
        <v>2047.75</v>
      </c>
      <c r="C96">
        <v>2.0720000000000001</v>
      </c>
      <c r="D96">
        <v>2.91</v>
      </c>
      <c r="E96">
        <v>3.0760000000000001</v>
      </c>
      <c r="F96">
        <v>2.5169999999999999</v>
      </c>
      <c r="G96">
        <v>3.6160000000000001</v>
      </c>
      <c r="H96" s="29">
        <v>3.97179855907028</v>
      </c>
      <c r="I96">
        <v>3.4159999999999999</v>
      </c>
      <c r="J96">
        <v>5.27305368847205</v>
      </c>
      <c r="K96">
        <v>1.2260309613993801</v>
      </c>
      <c r="N96">
        <v>3.6840000000000002</v>
      </c>
      <c r="O96">
        <v>5.0709999999999997</v>
      </c>
      <c r="P96">
        <v>6.9660000000000002</v>
      </c>
      <c r="Q96">
        <v>9.3469999999999995</v>
      </c>
      <c r="R96">
        <v>5.7380000000000004</v>
      </c>
      <c r="S96">
        <v>6.9539999999999997</v>
      </c>
    </row>
    <row r="97" spans="1:19" x14ac:dyDescent="0.2">
      <c r="A97">
        <f t="shared" si="1"/>
        <v>2048</v>
      </c>
      <c r="C97">
        <v>2.0819999999999999</v>
      </c>
      <c r="D97">
        <v>2.9529999999999998</v>
      </c>
      <c r="E97">
        <v>3.0920000000000001</v>
      </c>
      <c r="F97">
        <v>2.5299999999999998</v>
      </c>
      <c r="G97">
        <v>3.6760000000000002</v>
      </c>
      <c r="H97" s="29">
        <v>3.9971667119657401</v>
      </c>
      <c r="I97">
        <v>3.4489999999999998</v>
      </c>
      <c r="J97">
        <v>5.3235598271850399</v>
      </c>
      <c r="K97">
        <v>1.2269853307623799</v>
      </c>
      <c r="N97">
        <v>3.6920000000000002</v>
      </c>
      <c r="O97">
        <v>5.1180000000000003</v>
      </c>
      <c r="P97">
        <v>6.9889999999999999</v>
      </c>
      <c r="Q97">
        <v>9.4700000000000006</v>
      </c>
      <c r="R97">
        <v>5.7830000000000004</v>
      </c>
      <c r="S97">
        <v>7.0579999999999998</v>
      </c>
    </row>
    <row r="98" spans="1:19" x14ac:dyDescent="0.2">
      <c r="A98">
        <f t="shared" si="1"/>
        <v>2048.25</v>
      </c>
      <c r="C98">
        <v>2.0920000000000001</v>
      </c>
      <c r="D98">
        <v>2.996</v>
      </c>
      <c r="E98">
        <v>3.1080000000000001</v>
      </c>
      <c r="F98">
        <v>2.544</v>
      </c>
      <c r="G98">
        <v>3.7349999999999999</v>
      </c>
      <c r="H98" s="29">
        <v>4.0220117945815197</v>
      </c>
      <c r="I98">
        <v>3.4809999999999999</v>
      </c>
      <c r="J98">
        <v>5.3731090762398299</v>
      </c>
      <c r="K98">
        <v>1.22813387770909</v>
      </c>
      <c r="N98">
        <v>3.7</v>
      </c>
      <c r="O98">
        <v>5.1639999999999997</v>
      </c>
      <c r="P98">
        <v>7.0110000000000001</v>
      </c>
      <c r="Q98">
        <v>9.5920000000000005</v>
      </c>
      <c r="R98">
        <v>5.8280000000000003</v>
      </c>
      <c r="S98">
        <v>7.1609999999999996</v>
      </c>
    </row>
    <row r="99" spans="1:19" x14ac:dyDescent="0.2">
      <c r="A99">
        <f t="shared" si="1"/>
        <v>2048.5</v>
      </c>
      <c r="C99">
        <v>2.101</v>
      </c>
      <c r="D99">
        <v>3.0390000000000001</v>
      </c>
      <c r="E99">
        <v>3.1240000000000001</v>
      </c>
      <c r="F99">
        <v>2.5569999999999999</v>
      </c>
      <c r="G99">
        <v>3.7949999999999999</v>
      </c>
      <c r="H99" s="29">
        <v>4.0463439866925297</v>
      </c>
      <c r="I99">
        <v>3.5139999999999998</v>
      </c>
      <c r="J99">
        <v>5.4217176811863803</v>
      </c>
      <c r="K99">
        <v>1.2294684674929099</v>
      </c>
      <c r="N99">
        <v>3.7069999999999999</v>
      </c>
      <c r="O99">
        <v>5.21</v>
      </c>
      <c r="P99">
        <v>7.032</v>
      </c>
      <c r="Q99">
        <v>9.7110000000000003</v>
      </c>
      <c r="R99">
        <v>5.8730000000000002</v>
      </c>
      <c r="S99">
        <v>7.2640000000000002</v>
      </c>
    </row>
    <row r="100" spans="1:19" x14ac:dyDescent="0.2">
      <c r="A100">
        <f t="shared" si="1"/>
        <v>2048.75</v>
      </c>
      <c r="C100">
        <v>2.11</v>
      </c>
      <c r="D100">
        <v>3.081</v>
      </c>
      <c r="E100">
        <v>3.1389999999999998</v>
      </c>
      <c r="F100">
        <v>2.569</v>
      </c>
      <c r="G100">
        <v>3.8540000000000001</v>
      </c>
      <c r="H100" s="29">
        <v>4.0701732883639297</v>
      </c>
      <c r="I100">
        <v>3.5449999999999999</v>
      </c>
      <c r="J100">
        <v>5.4694016449068599</v>
      </c>
      <c r="K100">
        <v>1.23098123575427</v>
      </c>
      <c r="N100">
        <v>3.714</v>
      </c>
      <c r="O100">
        <v>5.2549999999999999</v>
      </c>
      <c r="P100">
        <v>7.0529999999999999</v>
      </c>
      <c r="Q100">
        <v>9.8290000000000006</v>
      </c>
      <c r="R100">
        <v>5.9180000000000001</v>
      </c>
      <c r="S100">
        <v>7.3659999999999997</v>
      </c>
    </row>
    <row r="101" spans="1:19" x14ac:dyDescent="0.2">
      <c r="A101">
        <f t="shared" si="1"/>
        <v>2049</v>
      </c>
      <c r="C101">
        <v>2.12</v>
      </c>
      <c r="D101">
        <v>3.1219999999999999</v>
      </c>
      <c r="E101">
        <v>3.1539999999999999</v>
      </c>
      <c r="F101">
        <v>2.5819999999999999</v>
      </c>
      <c r="G101">
        <v>3.9119999999999999</v>
      </c>
      <c r="H101" s="29">
        <v>4.0935095228709404</v>
      </c>
      <c r="I101">
        <v>3.577</v>
      </c>
      <c r="J101">
        <v>5.5161767326133004</v>
      </c>
      <c r="K101">
        <v>1.2326645791950499</v>
      </c>
      <c r="N101">
        <v>3.7210000000000001</v>
      </c>
      <c r="O101">
        <v>5.298</v>
      </c>
      <c r="P101">
        <v>7.0730000000000004</v>
      </c>
      <c r="Q101">
        <v>9.9440000000000008</v>
      </c>
      <c r="R101">
        <v>5.9630000000000001</v>
      </c>
      <c r="S101">
        <v>7.468</v>
      </c>
    </row>
    <row r="102" spans="1:19" x14ac:dyDescent="0.2">
      <c r="A102">
        <f t="shared" si="1"/>
        <v>2049.25</v>
      </c>
      <c r="C102">
        <v>2.129</v>
      </c>
      <c r="D102">
        <v>3.1629999999999998</v>
      </c>
      <c r="E102">
        <v>3.169</v>
      </c>
      <c r="F102">
        <v>2.5939999999999999</v>
      </c>
      <c r="G102">
        <v>3.97</v>
      </c>
      <c r="H102" s="29">
        <v>4.1163623395489903</v>
      </c>
      <c r="I102">
        <v>3.6080000000000001</v>
      </c>
      <c r="J102">
        <v>5.5620584764962597</v>
      </c>
      <c r="K102">
        <v>1.23451114663956</v>
      </c>
      <c r="N102">
        <v>3.7280000000000002</v>
      </c>
      <c r="O102">
        <v>5.3410000000000002</v>
      </c>
      <c r="P102">
        <v>7.093</v>
      </c>
      <c r="Q102">
        <v>10.058</v>
      </c>
      <c r="R102">
        <v>6.0090000000000003</v>
      </c>
      <c r="S102">
        <v>7.569</v>
      </c>
    </row>
    <row r="103" spans="1:19" x14ac:dyDescent="0.2">
      <c r="A103">
        <f t="shared" si="1"/>
        <v>2049.5</v>
      </c>
      <c r="C103">
        <v>2.137</v>
      </c>
      <c r="D103">
        <v>3.2040000000000002</v>
      </c>
      <c r="E103">
        <v>3.1829999999999998</v>
      </c>
      <c r="F103">
        <v>2.6059999999999999</v>
      </c>
      <c r="G103">
        <v>4.0279999999999996</v>
      </c>
      <c r="H103" s="29">
        <v>4.1387412165788602</v>
      </c>
      <c r="I103">
        <v>3.6389999999999998</v>
      </c>
      <c r="J103">
        <v>5.6070621800580103</v>
      </c>
      <c r="K103">
        <v>1.2365138304575201</v>
      </c>
      <c r="N103">
        <v>3.734</v>
      </c>
      <c r="O103">
        <v>5.383</v>
      </c>
      <c r="P103">
        <v>7.1120000000000001</v>
      </c>
      <c r="Q103">
        <v>10.169</v>
      </c>
      <c r="R103">
        <v>6.0549999999999997</v>
      </c>
      <c r="S103">
        <v>7.6710000000000003</v>
      </c>
    </row>
    <row r="104" spans="1:19" x14ac:dyDescent="0.2">
      <c r="A104">
        <f t="shared" si="1"/>
        <v>2049.75</v>
      </c>
      <c r="C104">
        <v>2.1459999999999999</v>
      </c>
      <c r="D104">
        <v>3.2450000000000001</v>
      </c>
      <c r="E104">
        <v>3.1970000000000001</v>
      </c>
      <c r="F104">
        <v>2.6179999999999999</v>
      </c>
      <c r="G104">
        <v>4.085</v>
      </c>
      <c r="H104" s="29">
        <v>4.16065546371052</v>
      </c>
      <c r="I104">
        <v>3.669</v>
      </c>
      <c r="J104">
        <v>5.6512029221598201</v>
      </c>
      <c r="K104">
        <v>1.23866575833229</v>
      </c>
      <c r="N104">
        <v>3.74</v>
      </c>
      <c r="O104">
        <v>5.4240000000000004</v>
      </c>
      <c r="P104">
        <v>7.13</v>
      </c>
      <c r="Q104">
        <v>10.279</v>
      </c>
      <c r="R104">
        <v>6.101</v>
      </c>
      <c r="S104">
        <v>7.7709999999999999</v>
      </c>
    </row>
    <row r="105" spans="1:19" x14ac:dyDescent="0.2">
      <c r="A105">
        <f t="shared" si="1"/>
        <v>2050</v>
      </c>
      <c r="C105">
        <v>2.1549999999999998</v>
      </c>
      <c r="D105" s="4">
        <v>3.2850000000000001</v>
      </c>
      <c r="E105" s="4">
        <v>3.2109999999999999</v>
      </c>
      <c r="F105" s="4">
        <v>2.63</v>
      </c>
      <c r="G105" s="4">
        <v>4.141</v>
      </c>
      <c r="H105" s="33">
        <v>4.18211422492484</v>
      </c>
      <c r="I105">
        <v>3.6989999999999998</v>
      </c>
      <c r="J105">
        <v>5.6944955608147199</v>
      </c>
      <c r="K105">
        <v>1.24096028535856</v>
      </c>
      <c r="N105">
        <v>3.746</v>
      </c>
      <c r="O105">
        <v>5.4640000000000004</v>
      </c>
      <c r="P105">
        <v>7.1470000000000002</v>
      </c>
      <c r="Q105">
        <v>10.387</v>
      </c>
      <c r="R105">
        <v>6.1470000000000002</v>
      </c>
      <c r="S105">
        <v>7.8719999999999999</v>
      </c>
    </row>
    <row r="108" spans="1:19" x14ac:dyDescent="0.2">
      <c r="C108">
        <f>C105-Results_from_model!C105</f>
        <v>0</v>
      </c>
      <c r="D108">
        <f>D105-Results_from_model!D105</f>
        <v>0</v>
      </c>
      <c r="E108">
        <f>E105-Results_from_model!E105</f>
        <v>0</v>
      </c>
      <c r="F108">
        <f>F105-Results_from_model!F105</f>
        <v>0</v>
      </c>
      <c r="G108">
        <f>G105-Results_from_model!G105</f>
        <v>0</v>
      </c>
      <c r="H108">
        <f>H105-Results_from_model!H105</f>
        <v>1.142249248395899E-4</v>
      </c>
      <c r="I108">
        <f>I105-Results_from_model!I105</f>
        <v>0</v>
      </c>
      <c r="J108">
        <f>J105-Results_from_model!J105</f>
        <v>4.9556081471990865E-4</v>
      </c>
      <c r="K108">
        <f>K105-Results_from_model!K105</f>
        <v>-3.9714641440147247E-5</v>
      </c>
      <c r="L108">
        <f>L105-Results_from_model!L105</f>
        <v>0</v>
      </c>
      <c r="M108">
        <f>M105-Results_from_model!M105</f>
        <v>0</v>
      </c>
      <c r="N108">
        <f>N105-Results_from_model!N105</f>
        <v>0</v>
      </c>
      <c r="O108">
        <f>O105-Results_from_model!O105</f>
        <v>0</v>
      </c>
      <c r="P108">
        <f>P105-Results_from_model!P105</f>
        <v>0</v>
      </c>
      <c r="Q108">
        <f>Q105-Results_from_model!Q105</f>
        <v>0</v>
      </c>
      <c r="R108">
        <f>R105-Results_from_model!R105</f>
        <v>0</v>
      </c>
      <c r="S108">
        <f>S105-Results_from_model!S105</f>
        <v>0</v>
      </c>
    </row>
    <row r="1597" spans="12:12" x14ac:dyDescent="0.2">
      <c r="L1597" s="5"/>
    </row>
    <row r="1598" spans="12:12" x14ac:dyDescent="0.2">
      <c r="L1598" s="5"/>
    </row>
    <row r="1599" spans="12:12" x14ac:dyDescent="0.2">
      <c r="L1599" s="5"/>
    </row>
    <row r="1600" spans="12:12" x14ac:dyDescent="0.2">
      <c r="L1600" s="5"/>
    </row>
    <row r="1601" spans="12:12" x14ac:dyDescent="0.2">
      <c r="L1601" s="5"/>
    </row>
    <row r="1602" spans="12:12" x14ac:dyDescent="0.2">
      <c r="L1602" s="5"/>
    </row>
    <row r="1603" spans="12:12" x14ac:dyDescent="0.2">
      <c r="L1603" s="5"/>
    </row>
    <row r="1604" spans="12:12" x14ac:dyDescent="0.2">
      <c r="L1604" s="5"/>
    </row>
    <row r="1605" spans="12:12" x14ac:dyDescent="0.2">
      <c r="L1605" s="5"/>
    </row>
    <row r="1606" spans="12:12" x14ac:dyDescent="0.2">
      <c r="L1606" s="5"/>
    </row>
    <row r="1607" spans="12:12" x14ac:dyDescent="0.2">
      <c r="L1607" s="5"/>
    </row>
    <row r="1608" spans="12:12" x14ac:dyDescent="0.2">
      <c r="L1608" s="5"/>
    </row>
    <row r="1609" spans="12:12" x14ac:dyDescent="0.2">
      <c r="L1609" s="5"/>
    </row>
    <row r="1610" spans="12:12" x14ac:dyDescent="0.2">
      <c r="L1610" s="5"/>
    </row>
    <row r="1611" spans="12:12" x14ac:dyDescent="0.2">
      <c r="L1611" s="5"/>
    </row>
    <row r="1612" spans="12:12" x14ac:dyDescent="0.2">
      <c r="L1612" s="5"/>
    </row>
    <row r="1613" spans="12:12" x14ac:dyDescent="0.2">
      <c r="L1613" s="5"/>
    </row>
    <row r="1614" spans="12:12" x14ac:dyDescent="0.2">
      <c r="L1614" s="5"/>
    </row>
    <row r="1615" spans="12:12" x14ac:dyDescent="0.2">
      <c r="L1615" s="5"/>
    </row>
    <row r="1616" spans="12:12" x14ac:dyDescent="0.2">
      <c r="L1616" s="5"/>
    </row>
    <row r="1617" spans="12:12" x14ac:dyDescent="0.2">
      <c r="L1617" s="5"/>
    </row>
    <row r="1618" spans="12:12" x14ac:dyDescent="0.2">
      <c r="L1618" s="5"/>
    </row>
    <row r="1619" spans="12:12" x14ac:dyDescent="0.2">
      <c r="L1619" s="5"/>
    </row>
    <row r="1620" spans="12:12" x14ac:dyDescent="0.2">
      <c r="L1620" s="5"/>
    </row>
    <row r="1621" spans="12:12" x14ac:dyDescent="0.2">
      <c r="L1621" s="5"/>
    </row>
    <row r="1622" spans="12:12" x14ac:dyDescent="0.2">
      <c r="L1622" s="5"/>
    </row>
    <row r="1623" spans="12:12" x14ac:dyDescent="0.2">
      <c r="L1623" s="5"/>
    </row>
    <row r="1624" spans="12:12" x14ac:dyDescent="0.2">
      <c r="L1624" s="5"/>
    </row>
    <row r="1625" spans="12:12" x14ac:dyDescent="0.2">
      <c r="L1625" s="5"/>
    </row>
    <row r="1626" spans="12:12" x14ac:dyDescent="0.2">
      <c r="L1626" s="5"/>
    </row>
    <row r="1627" spans="12:12" x14ac:dyDescent="0.2">
      <c r="L1627" s="5"/>
    </row>
    <row r="1628" spans="12:12" x14ac:dyDescent="0.2">
      <c r="L1628" s="5"/>
    </row>
    <row r="1629" spans="12:12" x14ac:dyDescent="0.2">
      <c r="L1629" s="5"/>
    </row>
    <row r="1630" spans="12:12" x14ac:dyDescent="0.2">
      <c r="L1630" s="5"/>
    </row>
    <row r="1631" spans="12:12" x14ac:dyDescent="0.2">
      <c r="L1631" s="5"/>
    </row>
    <row r="1632" spans="12:12" x14ac:dyDescent="0.2">
      <c r="L1632" s="5"/>
    </row>
    <row r="1633" spans="12:12" x14ac:dyDescent="0.2">
      <c r="L1633" s="5"/>
    </row>
    <row r="1634" spans="12:12" x14ac:dyDescent="0.2">
      <c r="L1634" s="5"/>
    </row>
    <row r="1635" spans="12:12" x14ac:dyDescent="0.2">
      <c r="L1635" s="5"/>
    </row>
    <row r="1636" spans="12:12" x14ac:dyDescent="0.2">
      <c r="L1636" s="5"/>
    </row>
    <row r="1637" spans="12:12" x14ac:dyDescent="0.2">
      <c r="L1637" s="5"/>
    </row>
    <row r="1638" spans="12:12" x14ac:dyDescent="0.2">
      <c r="L1638" s="5"/>
    </row>
    <row r="1639" spans="12:12" x14ac:dyDescent="0.2">
      <c r="L1639" s="5"/>
    </row>
    <row r="1640" spans="12:12" x14ac:dyDescent="0.2">
      <c r="L1640" s="5"/>
    </row>
    <row r="1641" spans="12:12" x14ac:dyDescent="0.2">
      <c r="L1641" s="5"/>
    </row>
    <row r="1642" spans="12:12" x14ac:dyDescent="0.2">
      <c r="L1642" s="5"/>
    </row>
    <row r="1643" spans="12:12" x14ac:dyDescent="0.2">
      <c r="L1643" s="5"/>
    </row>
    <row r="1644" spans="12:12" x14ac:dyDescent="0.2">
      <c r="L1644" s="5"/>
    </row>
    <row r="1645" spans="12:12" x14ac:dyDescent="0.2">
      <c r="L1645" s="5"/>
    </row>
    <row r="1646" spans="12:12" x14ac:dyDescent="0.2">
      <c r="L1646" s="5"/>
    </row>
    <row r="1647" spans="12:12" x14ac:dyDescent="0.2">
      <c r="L1647" s="5"/>
    </row>
    <row r="1648" spans="12:12" x14ac:dyDescent="0.2">
      <c r="L1648" s="5"/>
    </row>
    <row r="1649" spans="12:12" x14ac:dyDescent="0.2">
      <c r="L1649" s="5"/>
    </row>
    <row r="1650" spans="12:12" x14ac:dyDescent="0.2">
      <c r="L1650" s="5"/>
    </row>
    <row r="1651" spans="12:12" x14ac:dyDescent="0.2">
      <c r="L1651" s="5"/>
    </row>
    <row r="1652" spans="12:12" x14ac:dyDescent="0.2">
      <c r="L1652" s="5"/>
    </row>
    <row r="1653" spans="12:12" x14ac:dyDescent="0.2">
      <c r="L1653" s="5"/>
    </row>
    <row r="1654" spans="12:12" x14ac:dyDescent="0.2">
      <c r="L1654" s="5"/>
    </row>
    <row r="1655" spans="12:12" x14ac:dyDescent="0.2">
      <c r="L1655" s="5"/>
    </row>
    <row r="1656" spans="12:12" x14ac:dyDescent="0.2">
      <c r="L1656" s="5"/>
    </row>
    <row r="1657" spans="12:12" x14ac:dyDescent="0.2">
      <c r="L1657" s="5"/>
    </row>
    <row r="1658" spans="12:12" x14ac:dyDescent="0.2">
      <c r="L1658" s="5"/>
    </row>
    <row r="1659" spans="12:12" x14ac:dyDescent="0.2">
      <c r="L1659" s="5"/>
    </row>
    <row r="1660" spans="12:12" x14ac:dyDescent="0.2">
      <c r="L1660" s="5"/>
    </row>
    <row r="1661" spans="12:12" x14ac:dyDescent="0.2">
      <c r="L1661" s="5"/>
    </row>
    <row r="1662" spans="12:12" x14ac:dyDescent="0.2">
      <c r="L1662" s="5"/>
    </row>
    <row r="1663" spans="12:12" x14ac:dyDescent="0.2">
      <c r="L1663" s="5"/>
    </row>
    <row r="1664" spans="12:12" x14ac:dyDescent="0.2">
      <c r="L1664" s="5"/>
    </row>
    <row r="1665" spans="12:12" x14ac:dyDescent="0.2">
      <c r="L1665" s="5"/>
    </row>
    <row r="1666" spans="12:12" x14ac:dyDescent="0.2">
      <c r="L1666" s="5"/>
    </row>
    <row r="1667" spans="12:12" x14ac:dyDescent="0.2">
      <c r="L1667" s="5"/>
    </row>
    <row r="1668" spans="12:12" x14ac:dyDescent="0.2">
      <c r="L1668" s="5"/>
    </row>
    <row r="1669" spans="12:12" x14ac:dyDescent="0.2">
      <c r="L1669" s="5"/>
    </row>
    <row r="1670" spans="12:12" x14ac:dyDescent="0.2">
      <c r="L1670" s="5"/>
    </row>
    <row r="1671" spans="12:12" x14ac:dyDescent="0.2">
      <c r="L1671" s="5"/>
    </row>
    <row r="1672" spans="12:12" x14ac:dyDescent="0.2">
      <c r="L1672" s="5"/>
    </row>
    <row r="1673" spans="12:12" x14ac:dyDescent="0.2">
      <c r="L1673" s="5"/>
    </row>
    <row r="1674" spans="12:12" x14ac:dyDescent="0.2">
      <c r="L1674" s="5"/>
    </row>
    <row r="1675" spans="12:12" x14ac:dyDescent="0.2">
      <c r="L1675" s="5"/>
    </row>
    <row r="1676" spans="12:12" x14ac:dyDescent="0.2">
      <c r="L1676" s="5"/>
    </row>
    <row r="1677" spans="12:12" x14ac:dyDescent="0.2">
      <c r="L1677" s="5"/>
    </row>
    <row r="1678" spans="12:12" x14ac:dyDescent="0.2">
      <c r="L1678" s="5"/>
    </row>
    <row r="1679" spans="12:12" x14ac:dyDescent="0.2">
      <c r="L1679" s="5"/>
    </row>
    <row r="1680" spans="12:12" x14ac:dyDescent="0.2">
      <c r="L1680" s="5"/>
    </row>
    <row r="1681" spans="12:12" x14ac:dyDescent="0.2">
      <c r="L1681" s="5"/>
    </row>
    <row r="1682" spans="12:12" x14ac:dyDescent="0.2">
      <c r="L1682" s="5"/>
    </row>
    <row r="1683" spans="12:12" x14ac:dyDescent="0.2">
      <c r="L1683" s="5"/>
    </row>
    <row r="1684" spans="12:12" x14ac:dyDescent="0.2">
      <c r="L1684" s="5"/>
    </row>
    <row r="1685" spans="12:12" x14ac:dyDescent="0.2">
      <c r="L1685" s="5"/>
    </row>
    <row r="1686" spans="12:12" x14ac:dyDescent="0.2">
      <c r="L1686" s="5"/>
    </row>
    <row r="1687" spans="12:12" x14ac:dyDescent="0.2">
      <c r="L1687" s="5"/>
    </row>
    <row r="1688" spans="12:12" x14ac:dyDescent="0.2">
      <c r="L1688" s="5"/>
    </row>
    <row r="1689" spans="12:12" x14ac:dyDescent="0.2">
      <c r="L1689" s="5"/>
    </row>
    <row r="1690" spans="12:12" x14ac:dyDescent="0.2">
      <c r="L1690" s="5"/>
    </row>
    <row r="1691" spans="12:12" x14ac:dyDescent="0.2">
      <c r="L1691" s="5"/>
    </row>
    <row r="1692" spans="12:12" x14ac:dyDescent="0.2">
      <c r="L1692" s="5"/>
    </row>
    <row r="1693" spans="12:12" x14ac:dyDescent="0.2">
      <c r="L1693" s="5"/>
    </row>
    <row r="1694" spans="12:12" x14ac:dyDescent="0.2">
      <c r="L1694" s="5"/>
    </row>
    <row r="1695" spans="12:12" x14ac:dyDescent="0.2">
      <c r="L1695" s="5"/>
    </row>
    <row r="1696" spans="12:12" x14ac:dyDescent="0.2">
      <c r="L1696" s="5"/>
    </row>
    <row r="1697" spans="12:12" x14ac:dyDescent="0.2">
      <c r="L1697" s="5"/>
    </row>
    <row r="1698" spans="12:12" x14ac:dyDescent="0.2">
      <c r="L1698" s="5"/>
    </row>
    <row r="1699" spans="12:12" x14ac:dyDescent="0.2">
      <c r="L1699" s="5"/>
    </row>
    <row r="1700" spans="12:12" x14ac:dyDescent="0.2">
      <c r="L1700" s="5"/>
    </row>
    <row r="1701" spans="12:12" x14ac:dyDescent="0.2">
      <c r="L1701" s="5"/>
    </row>
    <row r="1702" spans="12:12" x14ac:dyDescent="0.2">
      <c r="L1702" s="5"/>
    </row>
    <row r="1703" spans="12:12" x14ac:dyDescent="0.2">
      <c r="L1703" s="5"/>
    </row>
    <row r="1704" spans="12:12" x14ac:dyDescent="0.2">
      <c r="L1704" s="5"/>
    </row>
    <row r="1705" spans="12:12" x14ac:dyDescent="0.2">
      <c r="L1705" s="5"/>
    </row>
    <row r="1706" spans="12:12" x14ac:dyDescent="0.2">
      <c r="L1706" s="5"/>
    </row>
    <row r="1707" spans="12:12" x14ac:dyDescent="0.2">
      <c r="L1707" s="5"/>
    </row>
    <row r="1708" spans="12:12" x14ac:dyDescent="0.2">
      <c r="L1708" s="5"/>
    </row>
    <row r="1709" spans="12:12" x14ac:dyDescent="0.2">
      <c r="L1709" s="5"/>
    </row>
    <row r="1710" spans="12:12" x14ac:dyDescent="0.2">
      <c r="L1710" s="5"/>
    </row>
    <row r="1711" spans="12:12" x14ac:dyDescent="0.2">
      <c r="L1711" s="5"/>
    </row>
    <row r="1712" spans="12:12" x14ac:dyDescent="0.2">
      <c r="L1712" s="5"/>
    </row>
    <row r="1713" spans="12:12" x14ac:dyDescent="0.2">
      <c r="L1713" s="5"/>
    </row>
    <row r="1714" spans="12:12" x14ac:dyDescent="0.2">
      <c r="L1714" s="5"/>
    </row>
    <row r="1715" spans="12:12" x14ac:dyDescent="0.2">
      <c r="L1715" s="5"/>
    </row>
    <row r="1716" spans="12:12" x14ac:dyDescent="0.2">
      <c r="L1716" s="5"/>
    </row>
    <row r="1717" spans="12:12" x14ac:dyDescent="0.2">
      <c r="L1717" s="5"/>
    </row>
    <row r="1718" spans="12:12" x14ac:dyDescent="0.2">
      <c r="L1718" s="5"/>
    </row>
    <row r="1719" spans="12:12" x14ac:dyDescent="0.2">
      <c r="L1719" s="5"/>
    </row>
    <row r="1720" spans="12:12" x14ac:dyDescent="0.2">
      <c r="L1720" s="5"/>
    </row>
    <row r="1721" spans="12:12" x14ac:dyDescent="0.2">
      <c r="L1721" s="5"/>
    </row>
    <row r="1722" spans="12:12" x14ac:dyDescent="0.2">
      <c r="L1722" s="5"/>
    </row>
    <row r="1723" spans="12:12" x14ac:dyDescent="0.2">
      <c r="L1723" s="5"/>
    </row>
    <row r="1724" spans="12:12" x14ac:dyDescent="0.2">
      <c r="L1724" s="5"/>
    </row>
    <row r="1725" spans="12:12" x14ac:dyDescent="0.2">
      <c r="L1725" s="5"/>
    </row>
    <row r="1726" spans="12:12" x14ac:dyDescent="0.2">
      <c r="L1726" s="5"/>
    </row>
    <row r="1727" spans="12:12" x14ac:dyDescent="0.2">
      <c r="L1727" s="5"/>
    </row>
    <row r="1728" spans="12:12" x14ac:dyDescent="0.2">
      <c r="L1728" s="5"/>
    </row>
    <row r="1729" spans="12:12" x14ac:dyDescent="0.2">
      <c r="L1729" s="5"/>
    </row>
    <row r="1730" spans="12:12" x14ac:dyDescent="0.2">
      <c r="L1730" s="5"/>
    </row>
    <row r="1731" spans="12:12" x14ac:dyDescent="0.2">
      <c r="L1731" s="5"/>
    </row>
    <row r="1732" spans="12:12" x14ac:dyDescent="0.2">
      <c r="L1732" s="5"/>
    </row>
    <row r="1733" spans="12:12" x14ac:dyDescent="0.2">
      <c r="L1733" s="5"/>
    </row>
    <row r="1734" spans="12:12" x14ac:dyDescent="0.2">
      <c r="L1734" s="5"/>
    </row>
    <row r="1735" spans="12:12" x14ac:dyDescent="0.2">
      <c r="L1735" s="5"/>
    </row>
    <row r="1736" spans="12:12" x14ac:dyDescent="0.2">
      <c r="L1736" s="5"/>
    </row>
    <row r="1737" spans="12:12" x14ac:dyDescent="0.2">
      <c r="L1737" s="5"/>
    </row>
    <row r="1738" spans="12:12" x14ac:dyDescent="0.2">
      <c r="L1738" s="5"/>
    </row>
    <row r="1739" spans="12:12" x14ac:dyDescent="0.2">
      <c r="L1739" s="5"/>
    </row>
    <row r="1740" spans="12:12" x14ac:dyDescent="0.2">
      <c r="L1740" s="5"/>
    </row>
    <row r="1741" spans="12:12" x14ac:dyDescent="0.2">
      <c r="L1741" s="5"/>
    </row>
    <row r="1742" spans="12:12" x14ac:dyDescent="0.2">
      <c r="L1742" s="5"/>
    </row>
    <row r="1743" spans="12:12" x14ac:dyDescent="0.2">
      <c r="L1743" s="5"/>
    </row>
    <row r="1744" spans="12:12" x14ac:dyDescent="0.2">
      <c r="L1744" s="5"/>
    </row>
    <row r="1745" spans="12:12" x14ac:dyDescent="0.2">
      <c r="L1745" s="5"/>
    </row>
    <row r="1746" spans="12:12" x14ac:dyDescent="0.2">
      <c r="L1746" s="5"/>
    </row>
    <row r="1747" spans="12:12" x14ac:dyDescent="0.2">
      <c r="L1747" s="5"/>
    </row>
    <row r="1748" spans="12:12" x14ac:dyDescent="0.2">
      <c r="L1748" s="5"/>
    </row>
    <row r="1749" spans="12:12" x14ac:dyDescent="0.2">
      <c r="L1749" s="5"/>
    </row>
    <row r="1750" spans="12:12" x14ac:dyDescent="0.2">
      <c r="L1750" s="5"/>
    </row>
    <row r="1751" spans="12:12" x14ac:dyDescent="0.2">
      <c r="L1751" s="5"/>
    </row>
    <row r="1752" spans="12:12" x14ac:dyDescent="0.2">
      <c r="L1752" s="5"/>
    </row>
    <row r="1753" spans="12:12" x14ac:dyDescent="0.2">
      <c r="L1753" s="5"/>
    </row>
    <row r="1754" spans="12:12" x14ac:dyDescent="0.2">
      <c r="L1754" s="5"/>
    </row>
    <row r="1755" spans="12:12" x14ac:dyDescent="0.2">
      <c r="L1755" s="5"/>
    </row>
    <row r="1756" spans="12:12" x14ac:dyDescent="0.2">
      <c r="L1756" s="5"/>
    </row>
    <row r="1757" spans="12:12" x14ac:dyDescent="0.2">
      <c r="L1757" s="5"/>
    </row>
    <row r="1758" spans="12:12" x14ac:dyDescent="0.2">
      <c r="L1758" s="5"/>
    </row>
    <row r="1759" spans="12:12" x14ac:dyDescent="0.2">
      <c r="L1759" s="5"/>
    </row>
    <row r="1760" spans="12:12" x14ac:dyDescent="0.2">
      <c r="L1760" s="5"/>
    </row>
    <row r="1761" spans="12:12" x14ac:dyDescent="0.2">
      <c r="L1761" s="5"/>
    </row>
    <row r="1762" spans="12:12" x14ac:dyDescent="0.2">
      <c r="L1762" s="5"/>
    </row>
    <row r="1763" spans="12:12" x14ac:dyDescent="0.2">
      <c r="L1763" s="5"/>
    </row>
    <row r="1764" spans="12:12" x14ac:dyDescent="0.2">
      <c r="L1764" s="5"/>
    </row>
    <row r="1765" spans="12:12" x14ac:dyDescent="0.2">
      <c r="L1765" s="5"/>
    </row>
    <row r="1766" spans="12:12" x14ac:dyDescent="0.2">
      <c r="L1766" s="5"/>
    </row>
    <row r="1767" spans="12:12" x14ac:dyDescent="0.2">
      <c r="L1767" s="5"/>
    </row>
    <row r="1768" spans="12:12" x14ac:dyDescent="0.2">
      <c r="L1768" s="5"/>
    </row>
    <row r="1769" spans="12:12" x14ac:dyDescent="0.2">
      <c r="L1769" s="5"/>
    </row>
    <row r="1770" spans="12:12" x14ac:dyDescent="0.2">
      <c r="L1770" s="5"/>
    </row>
    <row r="1771" spans="12:12" x14ac:dyDescent="0.2">
      <c r="L1771" s="5"/>
    </row>
    <row r="1772" spans="12:12" x14ac:dyDescent="0.2">
      <c r="L1772" s="5"/>
    </row>
    <row r="1773" spans="12:12" x14ac:dyDescent="0.2">
      <c r="L1773" s="5"/>
    </row>
    <row r="1774" spans="12:12" x14ac:dyDescent="0.2">
      <c r="L1774" s="5"/>
    </row>
    <row r="1775" spans="12:12" x14ac:dyDescent="0.2">
      <c r="L1775" s="5"/>
    </row>
    <row r="1776" spans="12:12" x14ac:dyDescent="0.2">
      <c r="L1776" s="5"/>
    </row>
    <row r="1777" spans="12:12" x14ac:dyDescent="0.2">
      <c r="L1777" s="5"/>
    </row>
    <row r="1778" spans="12:12" x14ac:dyDescent="0.2">
      <c r="L1778" s="5"/>
    </row>
    <row r="1779" spans="12:12" x14ac:dyDescent="0.2">
      <c r="L1779" s="5"/>
    </row>
    <row r="1780" spans="12:12" x14ac:dyDescent="0.2">
      <c r="L1780" s="5"/>
    </row>
    <row r="1781" spans="12:12" x14ac:dyDescent="0.2">
      <c r="L1781" s="5"/>
    </row>
    <row r="1782" spans="12:12" x14ac:dyDescent="0.2">
      <c r="L1782" s="5"/>
    </row>
    <row r="1783" spans="12:12" x14ac:dyDescent="0.2">
      <c r="L1783" s="5"/>
    </row>
    <row r="1784" spans="12:12" x14ac:dyDescent="0.2">
      <c r="L1784" s="5"/>
    </row>
    <row r="1785" spans="12:12" x14ac:dyDescent="0.2">
      <c r="L1785" s="5"/>
    </row>
    <row r="1786" spans="12:12" x14ac:dyDescent="0.2">
      <c r="L1786" s="5"/>
    </row>
    <row r="1787" spans="12:12" x14ac:dyDescent="0.2">
      <c r="L1787" s="5"/>
    </row>
    <row r="1788" spans="12:12" x14ac:dyDescent="0.2">
      <c r="L1788" s="5"/>
    </row>
    <row r="1789" spans="12:12" x14ac:dyDescent="0.2">
      <c r="L1789" s="5"/>
    </row>
    <row r="1790" spans="12:12" x14ac:dyDescent="0.2">
      <c r="L1790" s="5"/>
    </row>
    <row r="1791" spans="12:12" x14ac:dyDescent="0.2">
      <c r="L1791" s="5"/>
    </row>
    <row r="1792" spans="12:12" x14ac:dyDescent="0.2">
      <c r="L1792" s="5"/>
    </row>
    <row r="1793" spans="12:12" x14ac:dyDescent="0.2">
      <c r="L1793" s="5"/>
    </row>
    <row r="1794" spans="12:12" x14ac:dyDescent="0.2">
      <c r="L1794" s="5"/>
    </row>
    <row r="1795" spans="12:12" x14ac:dyDescent="0.2">
      <c r="L1795" s="5"/>
    </row>
    <row r="1796" spans="12:12" x14ac:dyDescent="0.2">
      <c r="L1796" s="5"/>
    </row>
    <row r="1797" spans="12:12" x14ac:dyDescent="0.2">
      <c r="L1797" s="5"/>
    </row>
    <row r="1798" spans="12:12" x14ac:dyDescent="0.2">
      <c r="L1798" s="5"/>
    </row>
    <row r="1799" spans="12:12" x14ac:dyDescent="0.2">
      <c r="L1799" s="5"/>
    </row>
    <row r="1800" spans="12:12" x14ac:dyDescent="0.2">
      <c r="L1800" s="5"/>
    </row>
    <row r="1801" spans="12:12" x14ac:dyDescent="0.2">
      <c r="L1801" s="5"/>
    </row>
    <row r="1802" spans="12:12" x14ac:dyDescent="0.2">
      <c r="L1802" s="5"/>
    </row>
    <row r="1803" spans="12:12" x14ac:dyDescent="0.2">
      <c r="L1803" s="5"/>
    </row>
    <row r="1804" spans="12:12" x14ac:dyDescent="0.2">
      <c r="L1804" s="5"/>
    </row>
    <row r="1805" spans="12:12" x14ac:dyDescent="0.2">
      <c r="L1805" s="5"/>
    </row>
    <row r="1806" spans="12:12" x14ac:dyDescent="0.2">
      <c r="L1806" s="5"/>
    </row>
    <row r="1807" spans="12:12" x14ac:dyDescent="0.2">
      <c r="L1807" s="5"/>
    </row>
    <row r="1808" spans="12:12" x14ac:dyDescent="0.2">
      <c r="L1808" s="5"/>
    </row>
    <row r="1809" spans="12:12" x14ac:dyDescent="0.2">
      <c r="L1809" s="5"/>
    </row>
    <row r="1810" spans="12:12" x14ac:dyDescent="0.2">
      <c r="L1810" s="5"/>
    </row>
    <row r="1811" spans="12:12" x14ac:dyDescent="0.2">
      <c r="L1811" s="5"/>
    </row>
    <row r="1812" spans="12:12" x14ac:dyDescent="0.2">
      <c r="L1812" s="5"/>
    </row>
    <row r="1813" spans="12:12" x14ac:dyDescent="0.2">
      <c r="L1813" s="5"/>
    </row>
    <row r="1814" spans="12:12" x14ac:dyDescent="0.2">
      <c r="L1814" s="5"/>
    </row>
    <row r="1815" spans="12:12" x14ac:dyDescent="0.2">
      <c r="L1815" s="5"/>
    </row>
    <row r="1816" spans="12:12" x14ac:dyDescent="0.2">
      <c r="L1816" s="5"/>
    </row>
    <row r="1817" spans="12:12" x14ac:dyDescent="0.2">
      <c r="L1817" s="5"/>
    </row>
    <row r="1818" spans="12:12" x14ac:dyDescent="0.2">
      <c r="L1818" s="5"/>
    </row>
    <row r="1819" spans="12:12" x14ac:dyDescent="0.2">
      <c r="L1819" s="5"/>
    </row>
    <row r="1820" spans="12:12" x14ac:dyDescent="0.2">
      <c r="L1820" s="5"/>
    </row>
    <row r="1821" spans="12:12" x14ac:dyDescent="0.2">
      <c r="L1821" s="5"/>
    </row>
    <row r="1822" spans="12:12" x14ac:dyDescent="0.2">
      <c r="L1822" s="5"/>
    </row>
    <row r="1823" spans="12:12" x14ac:dyDescent="0.2">
      <c r="L1823" s="5"/>
    </row>
    <row r="1824" spans="12:12" x14ac:dyDescent="0.2">
      <c r="L1824" s="5"/>
    </row>
    <row r="1825" spans="12:12" x14ac:dyDescent="0.2">
      <c r="L1825" s="5"/>
    </row>
    <row r="1826" spans="12:12" x14ac:dyDescent="0.2">
      <c r="L1826" s="5"/>
    </row>
    <row r="1827" spans="12:12" x14ac:dyDescent="0.2">
      <c r="L1827" s="5"/>
    </row>
    <row r="1828" spans="12:12" x14ac:dyDescent="0.2">
      <c r="L1828" s="5"/>
    </row>
    <row r="1829" spans="12:12" x14ac:dyDescent="0.2">
      <c r="L1829" s="5"/>
    </row>
    <row r="1830" spans="12:12" x14ac:dyDescent="0.2">
      <c r="L1830" s="5"/>
    </row>
    <row r="1831" spans="12:12" x14ac:dyDescent="0.2">
      <c r="L1831" s="5"/>
    </row>
    <row r="1832" spans="12:12" x14ac:dyDescent="0.2">
      <c r="L1832" s="5"/>
    </row>
    <row r="1833" spans="12:12" x14ac:dyDescent="0.2">
      <c r="L1833" s="5"/>
    </row>
    <row r="1834" spans="12:12" x14ac:dyDescent="0.2">
      <c r="L1834" s="5"/>
    </row>
    <row r="1835" spans="12:12" x14ac:dyDescent="0.2">
      <c r="L1835" s="5"/>
    </row>
    <row r="1836" spans="12:12" x14ac:dyDescent="0.2">
      <c r="L1836" s="5"/>
    </row>
    <row r="1837" spans="12:12" x14ac:dyDescent="0.2">
      <c r="L1837" s="5"/>
    </row>
    <row r="1838" spans="12:12" x14ac:dyDescent="0.2">
      <c r="L1838" s="5"/>
    </row>
    <row r="1839" spans="12:12" x14ac:dyDescent="0.2">
      <c r="L1839" s="5"/>
    </row>
    <row r="1840" spans="12:12" x14ac:dyDescent="0.2">
      <c r="L1840" s="5"/>
    </row>
    <row r="1841" spans="12:12" x14ac:dyDescent="0.2">
      <c r="L1841" s="5"/>
    </row>
    <row r="1842" spans="12:12" x14ac:dyDescent="0.2">
      <c r="L1842" s="5"/>
    </row>
    <row r="1843" spans="12:12" x14ac:dyDescent="0.2">
      <c r="L1843" s="5"/>
    </row>
    <row r="1844" spans="12:12" x14ac:dyDescent="0.2">
      <c r="L1844" s="5"/>
    </row>
    <row r="1845" spans="12:12" x14ac:dyDescent="0.2">
      <c r="L1845" s="5"/>
    </row>
    <row r="1846" spans="12:12" x14ac:dyDescent="0.2">
      <c r="L1846" s="5"/>
    </row>
    <row r="1847" spans="12:12" x14ac:dyDescent="0.2">
      <c r="L1847" s="5"/>
    </row>
    <row r="1848" spans="12:12" x14ac:dyDescent="0.2">
      <c r="L1848" s="5"/>
    </row>
    <row r="1849" spans="12:12" x14ac:dyDescent="0.2">
      <c r="L1849" s="5"/>
    </row>
    <row r="1850" spans="12:12" x14ac:dyDescent="0.2">
      <c r="L1850" s="5"/>
    </row>
    <row r="1851" spans="12:12" x14ac:dyDescent="0.2">
      <c r="L1851" s="5"/>
    </row>
    <row r="1852" spans="12:12" x14ac:dyDescent="0.2">
      <c r="L1852" s="5"/>
    </row>
    <row r="1853" spans="12:12" x14ac:dyDescent="0.2">
      <c r="L1853" s="5"/>
    </row>
    <row r="1854" spans="12:12" x14ac:dyDescent="0.2">
      <c r="L1854" s="5"/>
    </row>
    <row r="1855" spans="12:12" x14ac:dyDescent="0.2">
      <c r="L1855" s="5"/>
    </row>
    <row r="1856" spans="12:12" x14ac:dyDescent="0.2">
      <c r="L1856" s="5"/>
    </row>
    <row r="1857" spans="12:12" x14ac:dyDescent="0.2">
      <c r="L1857" s="5"/>
    </row>
    <row r="1858" spans="12:12" x14ac:dyDescent="0.2">
      <c r="L1858" s="5"/>
    </row>
    <row r="1859" spans="12:12" x14ac:dyDescent="0.2">
      <c r="L1859" s="5"/>
    </row>
    <row r="1860" spans="12:12" x14ac:dyDescent="0.2">
      <c r="L1860" s="5"/>
    </row>
    <row r="1861" spans="12:12" x14ac:dyDescent="0.2">
      <c r="L1861" s="5"/>
    </row>
    <row r="1862" spans="12:12" x14ac:dyDescent="0.2">
      <c r="L1862" s="5"/>
    </row>
    <row r="1863" spans="12:12" x14ac:dyDescent="0.2">
      <c r="L1863" s="5"/>
    </row>
    <row r="1864" spans="12:12" x14ac:dyDescent="0.2">
      <c r="L1864" s="5"/>
    </row>
    <row r="1865" spans="12:12" x14ac:dyDescent="0.2">
      <c r="L1865" s="5"/>
    </row>
    <row r="1866" spans="12:12" x14ac:dyDescent="0.2">
      <c r="L1866" s="5"/>
    </row>
    <row r="1867" spans="12:12" x14ac:dyDescent="0.2">
      <c r="L1867" s="5"/>
    </row>
    <row r="1868" spans="12:12" x14ac:dyDescent="0.2">
      <c r="L1868" s="5"/>
    </row>
    <row r="1869" spans="12:12" x14ac:dyDescent="0.2">
      <c r="L1869" s="5"/>
    </row>
    <row r="1870" spans="12:12" x14ac:dyDescent="0.2">
      <c r="L1870" s="5"/>
    </row>
    <row r="1871" spans="12:12" x14ac:dyDescent="0.2">
      <c r="L1871" s="5"/>
    </row>
    <row r="1872" spans="12:12" x14ac:dyDescent="0.2">
      <c r="L1872" s="5"/>
    </row>
    <row r="1873" spans="12:12" x14ac:dyDescent="0.2">
      <c r="L1873" s="5"/>
    </row>
    <row r="1874" spans="12:12" x14ac:dyDescent="0.2">
      <c r="L1874" s="5"/>
    </row>
    <row r="1875" spans="12:12" x14ac:dyDescent="0.2">
      <c r="L1875" s="5"/>
    </row>
    <row r="1876" spans="12:12" x14ac:dyDescent="0.2">
      <c r="L1876" s="5"/>
    </row>
    <row r="1877" spans="12:12" x14ac:dyDescent="0.2">
      <c r="L1877" s="5"/>
    </row>
    <row r="1878" spans="12:12" x14ac:dyDescent="0.2">
      <c r="L1878" s="5"/>
    </row>
    <row r="1879" spans="12:12" x14ac:dyDescent="0.2">
      <c r="L1879" s="5"/>
    </row>
    <row r="1880" spans="12:12" x14ac:dyDescent="0.2">
      <c r="L1880" s="5"/>
    </row>
    <row r="1881" spans="12:12" x14ac:dyDescent="0.2">
      <c r="L1881" s="5"/>
    </row>
    <row r="1882" spans="12:12" x14ac:dyDescent="0.2">
      <c r="L1882" s="5"/>
    </row>
    <row r="1883" spans="12:12" x14ac:dyDescent="0.2">
      <c r="L1883" s="5"/>
    </row>
    <row r="1884" spans="12:12" x14ac:dyDescent="0.2">
      <c r="L1884" s="5"/>
    </row>
    <row r="1885" spans="12:12" x14ac:dyDescent="0.2">
      <c r="L1885" s="5"/>
    </row>
    <row r="1886" spans="12:12" x14ac:dyDescent="0.2">
      <c r="L1886" s="5"/>
    </row>
    <row r="1887" spans="12:12" x14ac:dyDescent="0.2">
      <c r="L1887" s="5"/>
    </row>
    <row r="1888" spans="12:12" x14ac:dyDescent="0.2">
      <c r="L1888" s="5"/>
    </row>
    <row r="1889" spans="12:12" x14ac:dyDescent="0.2">
      <c r="L1889" s="5"/>
    </row>
    <row r="1890" spans="12:12" x14ac:dyDescent="0.2">
      <c r="L1890" s="5"/>
    </row>
    <row r="1891" spans="12:12" x14ac:dyDescent="0.2">
      <c r="L1891" s="5"/>
    </row>
    <row r="1892" spans="12:12" x14ac:dyDescent="0.2">
      <c r="L1892" s="5"/>
    </row>
    <row r="1893" spans="12:12" x14ac:dyDescent="0.2">
      <c r="L1893" s="5"/>
    </row>
    <row r="1894" spans="12:12" x14ac:dyDescent="0.2">
      <c r="L1894" s="5"/>
    </row>
    <row r="1895" spans="12:12" x14ac:dyDescent="0.2">
      <c r="L1895" s="5"/>
    </row>
    <row r="1896" spans="12:12" x14ac:dyDescent="0.2">
      <c r="L1896" s="5"/>
    </row>
    <row r="1897" spans="12:12" x14ac:dyDescent="0.2">
      <c r="L1897" s="5"/>
    </row>
    <row r="1898" spans="12:12" x14ac:dyDescent="0.2">
      <c r="L1898" s="5"/>
    </row>
    <row r="1899" spans="12:12" x14ac:dyDescent="0.2">
      <c r="L1899" s="5"/>
    </row>
    <row r="1900" spans="12:12" x14ac:dyDescent="0.2">
      <c r="L1900" s="5"/>
    </row>
    <row r="1901" spans="12:12" x14ac:dyDescent="0.2">
      <c r="L1901" s="5"/>
    </row>
    <row r="1902" spans="12:12" x14ac:dyDescent="0.2">
      <c r="L1902" s="5"/>
    </row>
    <row r="1903" spans="12:12" x14ac:dyDescent="0.2">
      <c r="L1903" s="5"/>
    </row>
    <row r="1904" spans="12:12" x14ac:dyDescent="0.2">
      <c r="L1904" s="5"/>
    </row>
    <row r="1905" spans="12:12" x14ac:dyDescent="0.2">
      <c r="L1905" s="5"/>
    </row>
    <row r="1906" spans="12:12" x14ac:dyDescent="0.2">
      <c r="L1906" s="5"/>
    </row>
    <row r="1907" spans="12:12" x14ac:dyDescent="0.2">
      <c r="L1907" s="5"/>
    </row>
    <row r="1908" spans="12:12" x14ac:dyDescent="0.2">
      <c r="L1908" s="5"/>
    </row>
    <row r="1909" spans="12:12" x14ac:dyDescent="0.2">
      <c r="L1909" s="5"/>
    </row>
    <row r="1910" spans="12:12" x14ac:dyDescent="0.2">
      <c r="L1910" s="5"/>
    </row>
    <row r="1911" spans="12:12" x14ac:dyDescent="0.2">
      <c r="L1911" s="5"/>
    </row>
    <row r="1912" spans="12:12" x14ac:dyDescent="0.2">
      <c r="L1912" s="5"/>
    </row>
    <row r="1913" spans="12:12" x14ac:dyDescent="0.2">
      <c r="L1913" s="5"/>
    </row>
    <row r="1914" spans="12:12" x14ac:dyDescent="0.2">
      <c r="L1914" s="5"/>
    </row>
    <row r="1915" spans="12:12" x14ac:dyDescent="0.2">
      <c r="L1915" s="5"/>
    </row>
    <row r="1916" spans="12:12" x14ac:dyDescent="0.2">
      <c r="L1916" s="5"/>
    </row>
    <row r="1917" spans="12:12" x14ac:dyDescent="0.2">
      <c r="L1917" s="5"/>
    </row>
    <row r="1918" spans="12:12" x14ac:dyDescent="0.2">
      <c r="L1918" s="5"/>
    </row>
    <row r="1919" spans="12:12" x14ac:dyDescent="0.2">
      <c r="L1919" s="5"/>
    </row>
    <row r="1920" spans="12:12" x14ac:dyDescent="0.2">
      <c r="L1920" s="5"/>
    </row>
    <row r="1921" spans="12:12" x14ac:dyDescent="0.2">
      <c r="L1921" s="5"/>
    </row>
    <row r="1922" spans="12:12" x14ac:dyDescent="0.2">
      <c r="L1922" s="5"/>
    </row>
    <row r="1923" spans="12:12" x14ac:dyDescent="0.2">
      <c r="L1923" s="5"/>
    </row>
    <row r="1924" spans="12:12" x14ac:dyDescent="0.2">
      <c r="L1924" s="5"/>
    </row>
    <row r="1925" spans="12:12" x14ac:dyDescent="0.2">
      <c r="L1925" s="5"/>
    </row>
    <row r="1926" spans="12:12" x14ac:dyDescent="0.2">
      <c r="L1926" s="5"/>
    </row>
    <row r="1927" spans="12:12" x14ac:dyDescent="0.2">
      <c r="L1927" s="5"/>
    </row>
    <row r="1928" spans="12:12" x14ac:dyDescent="0.2">
      <c r="L1928" s="5"/>
    </row>
    <row r="1929" spans="12:12" x14ac:dyDescent="0.2">
      <c r="L1929" s="5"/>
    </row>
    <row r="1930" spans="12:12" x14ac:dyDescent="0.2">
      <c r="L1930" s="5"/>
    </row>
    <row r="1931" spans="12:12" x14ac:dyDescent="0.2">
      <c r="L1931" s="5"/>
    </row>
    <row r="1932" spans="12:12" x14ac:dyDescent="0.2">
      <c r="L1932" s="5"/>
    </row>
    <row r="1933" spans="12:12" x14ac:dyDescent="0.2">
      <c r="L1933" s="5"/>
    </row>
    <row r="1934" spans="12:12" x14ac:dyDescent="0.2">
      <c r="L1934" s="5"/>
    </row>
    <row r="1935" spans="12:12" x14ac:dyDescent="0.2">
      <c r="L1935" s="5"/>
    </row>
    <row r="1936" spans="12:12" x14ac:dyDescent="0.2">
      <c r="L1936" s="5"/>
    </row>
    <row r="1937" spans="12:12" x14ac:dyDescent="0.2">
      <c r="L1937" s="5"/>
    </row>
    <row r="1938" spans="12:12" x14ac:dyDescent="0.2">
      <c r="L1938" s="5"/>
    </row>
    <row r="1939" spans="12:12" x14ac:dyDescent="0.2">
      <c r="L1939" s="5"/>
    </row>
    <row r="1940" spans="12:12" x14ac:dyDescent="0.2">
      <c r="L1940" s="5"/>
    </row>
    <row r="1941" spans="12:12" x14ac:dyDescent="0.2">
      <c r="L1941" s="5"/>
    </row>
    <row r="1942" spans="12:12" x14ac:dyDescent="0.2">
      <c r="L1942" s="5"/>
    </row>
    <row r="1943" spans="12:12" x14ac:dyDescent="0.2">
      <c r="L1943" s="5"/>
    </row>
    <row r="1944" spans="12:12" x14ac:dyDescent="0.2">
      <c r="L1944" s="5"/>
    </row>
    <row r="1945" spans="12:12" x14ac:dyDescent="0.2">
      <c r="L1945" s="5"/>
    </row>
    <row r="1946" spans="12:12" x14ac:dyDescent="0.2">
      <c r="L1946" s="5"/>
    </row>
    <row r="1947" spans="12:12" x14ac:dyDescent="0.2">
      <c r="L1947" s="5"/>
    </row>
    <row r="1948" spans="12:12" x14ac:dyDescent="0.2">
      <c r="L1948" s="5"/>
    </row>
    <row r="1949" spans="12:12" x14ac:dyDescent="0.2">
      <c r="L1949" s="5"/>
    </row>
    <row r="1950" spans="12:12" x14ac:dyDescent="0.2">
      <c r="L1950" s="5"/>
    </row>
    <row r="1951" spans="12:12" x14ac:dyDescent="0.2">
      <c r="L1951" s="5"/>
    </row>
    <row r="1952" spans="12:12" x14ac:dyDescent="0.2">
      <c r="L1952" s="5"/>
    </row>
    <row r="1953" spans="12:12" x14ac:dyDescent="0.2">
      <c r="L1953" s="5"/>
    </row>
    <row r="1954" spans="12:12" x14ac:dyDescent="0.2">
      <c r="L1954" s="5"/>
    </row>
    <row r="1955" spans="12:12" x14ac:dyDescent="0.2">
      <c r="L1955" s="5"/>
    </row>
    <row r="1956" spans="12:12" x14ac:dyDescent="0.2">
      <c r="L1956" s="5"/>
    </row>
    <row r="1957" spans="12:12" x14ac:dyDescent="0.2">
      <c r="L1957" s="5"/>
    </row>
    <row r="1958" spans="12:12" x14ac:dyDescent="0.2">
      <c r="L1958" s="5"/>
    </row>
    <row r="1959" spans="12:12" x14ac:dyDescent="0.2">
      <c r="L1959" s="5"/>
    </row>
    <row r="1960" spans="12:12" x14ac:dyDescent="0.2">
      <c r="L1960" s="5"/>
    </row>
    <row r="1961" spans="12:12" x14ac:dyDescent="0.2">
      <c r="L1961" s="5"/>
    </row>
    <row r="1962" spans="12:12" x14ac:dyDescent="0.2">
      <c r="L1962" s="5"/>
    </row>
    <row r="1963" spans="12:12" x14ac:dyDescent="0.2">
      <c r="L1963" s="5"/>
    </row>
    <row r="1964" spans="12:12" x14ac:dyDescent="0.2">
      <c r="L1964" s="5"/>
    </row>
    <row r="1965" spans="12:12" x14ac:dyDescent="0.2">
      <c r="L1965" s="5"/>
    </row>
    <row r="1966" spans="12:12" x14ac:dyDescent="0.2">
      <c r="L1966" s="5"/>
    </row>
    <row r="1967" spans="12:12" x14ac:dyDescent="0.2">
      <c r="L1967" s="5"/>
    </row>
    <row r="1968" spans="12:12" x14ac:dyDescent="0.2">
      <c r="L1968" s="5"/>
    </row>
    <row r="1969" spans="12:12" x14ac:dyDescent="0.2">
      <c r="L1969" s="5"/>
    </row>
    <row r="1970" spans="12:12" x14ac:dyDescent="0.2">
      <c r="L1970" s="5"/>
    </row>
    <row r="1971" spans="12:12" x14ac:dyDescent="0.2">
      <c r="L1971" s="5"/>
    </row>
    <row r="1972" spans="12:12" x14ac:dyDescent="0.2">
      <c r="L1972" s="5"/>
    </row>
    <row r="1973" spans="12:12" x14ac:dyDescent="0.2">
      <c r="L1973" s="5"/>
    </row>
    <row r="1974" spans="12:12" x14ac:dyDescent="0.2">
      <c r="L1974" s="5"/>
    </row>
    <row r="1975" spans="12:12" x14ac:dyDescent="0.2">
      <c r="L1975" s="5"/>
    </row>
    <row r="1976" spans="12:12" x14ac:dyDescent="0.2">
      <c r="L1976" s="5"/>
    </row>
    <row r="1977" spans="12:12" x14ac:dyDescent="0.2">
      <c r="L1977" s="5"/>
    </row>
    <row r="1978" spans="12:12" x14ac:dyDescent="0.2">
      <c r="L1978" s="5"/>
    </row>
    <row r="1979" spans="12:12" x14ac:dyDescent="0.2">
      <c r="L1979" s="5"/>
    </row>
    <row r="1980" spans="12:12" x14ac:dyDescent="0.2">
      <c r="L1980" s="5"/>
    </row>
    <row r="1981" spans="12:12" x14ac:dyDescent="0.2">
      <c r="L1981" s="5"/>
    </row>
    <row r="1982" spans="12:12" x14ac:dyDescent="0.2">
      <c r="L1982" s="5"/>
    </row>
    <row r="1983" spans="12:12" x14ac:dyDescent="0.2">
      <c r="L1983" s="5"/>
    </row>
    <row r="1984" spans="12:12" x14ac:dyDescent="0.2">
      <c r="L1984" s="5"/>
    </row>
    <row r="1985" spans="12:12" x14ac:dyDescent="0.2">
      <c r="L1985" s="5"/>
    </row>
    <row r="1986" spans="12:12" x14ac:dyDescent="0.2">
      <c r="L1986" s="5"/>
    </row>
    <row r="1987" spans="12:12" x14ac:dyDescent="0.2">
      <c r="L1987" s="5"/>
    </row>
    <row r="1988" spans="12:12" x14ac:dyDescent="0.2">
      <c r="L1988" s="5"/>
    </row>
    <row r="1989" spans="12:12" x14ac:dyDescent="0.2">
      <c r="L1989" s="5"/>
    </row>
    <row r="1990" spans="12:12" x14ac:dyDescent="0.2">
      <c r="L1990" s="5"/>
    </row>
    <row r="1991" spans="12:12" x14ac:dyDescent="0.2">
      <c r="L1991" s="5"/>
    </row>
    <row r="1992" spans="12:12" x14ac:dyDescent="0.2">
      <c r="L1992" s="5"/>
    </row>
    <row r="1993" spans="12:12" x14ac:dyDescent="0.2">
      <c r="L1993" s="5"/>
    </row>
    <row r="1994" spans="12:12" x14ac:dyDescent="0.2">
      <c r="L1994" s="5"/>
    </row>
    <row r="1995" spans="12:12" x14ac:dyDescent="0.2">
      <c r="L1995" s="5"/>
    </row>
    <row r="1996" spans="12:12" x14ac:dyDescent="0.2">
      <c r="L1996" s="5"/>
    </row>
    <row r="1997" spans="12:12" x14ac:dyDescent="0.2">
      <c r="L1997" s="5"/>
    </row>
    <row r="1998" spans="12:12" x14ac:dyDescent="0.2">
      <c r="L1998" s="5"/>
    </row>
    <row r="1999" spans="12:12" x14ac:dyDescent="0.2">
      <c r="L1999" s="5"/>
    </row>
    <row r="2000" spans="12:12" x14ac:dyDescent="0.2">
      <c r="L2000" s="5"/>
    </row>
    <row r="2001" spans="12:12" x14ac:dyDescent="0.2">
      <c r="L2001" s="5"/>
    </row>
    <row r="2002" spans="12:12" x14ac:dyDescent="0.2">
      <c r="L2002" s="5"/>
    </row>
    <row r="2003" spans="12:12" x14ac:dyDescent="0.2">
      <c r="L2003" s="5"/>
    </row>
    <row r="2004" spans="12:12" x14ac:dyDescent="0.2">
      <c r="L2004" s="5"/>
    </row>
    <row r="2005" spans="12:12" x14ac:dyDescent="0.2">
      <c r="L200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BD91-B605-4B8B-87AE-82B19DED94A5}">
  <dimension ref="A1:AC110"/>
  <sheetViews>
    <sheetView topLeftCell="A86" workbookViewId="0">
      <selection activeCell="N9" sqref="N9"/>
    </sheetView>
  </sheetViews>
  <sheetFormatPr defaultRowHeight="12.75" x14ac:dyDescent="0.2"/>
  <cols>
    <col min="8" max="8" width="11.85546875" customWidth="1"/>
    <col min="14" max="19" width="9.5703125" customWidth="1"/>
  </cols>
  <sheetData>
    <row r="1" spans="1:29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N1" s="13" t="s">
        <v>115</v>
      </c>
      <c r="O1" s="13" t="s">
        <v>116</v>
      </c>
      <c r="P1" s="13" t="s">
        <v>117</v>
      </c>
      <c r="Q1" s="13" t="s">
        <v>118</v>
      </c>
      <c r="R1" s="13" t="s">
        <v>119</v>
      </c>
      <c r="S1" s="13" t="s">
        <v>120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</row>
    <row r="2" spans="1:29" ht="76.5" x14ac:dyDescent="0.2">
      <c r="A2" s="25" t="s">
        <v>137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153</v>
      </c>
      <c r="I2" s="3" t="s">
        <v>150</v>
      </c>
      <c r="J2" s="3" t="s">
        <v>152</v>
      </c>
      <c r="K2" s="3" t="s">
        <v>151</v>
      </c>
      <c r="M2" s="26" t="s">
        <v>139</v>
      </c>
      <c r="N2" s="3" t="s">
        <v>121</v>
      </c>
      <c r="O2" s="3" t="s">
        <v>122</v>
      </c>
      <c r="P2" s="3" t="s">
        <v>123</v>
      </c>
      <c r="Q2" s="3" t="s">
        <v>124</v>
      </c>
      <c r="R2" s="3" t="s">
        <v>125</v>
      </c>
      <c r="S2" s="3" t="s">
        <v>126</v>
      </c>
      <c r="T2" s="3" t="s">
        <v>158</v>
      </c>
      <c r="U2" s="3" t="s">
        <v>159</v>
      </c>
      <c r="V2" s="3" t="s">
        <v>155</v>
      </c>
      <c r="W2" s="3" t="s">
        <v>157</v>
      </c>
      <c r="X2" s="3" t="s">
        <v>154</v>
      </c>
      <c r="Y2" s="3" t="s">
        <v>156</v>
      </c>
    </row>
    <row r="3" spans="1:29" x14ac:dyDescent="0.2">
      <c r="B3" t="s">
        <v>6</v>
      </c>
    </row>
    <row r="8" spans="1:29" x14ac:dyDescent="0.2">
      <c r="I8" s="14"/>
      <c r="J8" s="14"/>
      <c r="K8" s="14"/>
    </row>
    <row r="9" spans="1:29" x14ac:dyDescent="0.2">
      <c r="A9">
        <v>2026</v>
      </c>
      <c r="C9">
        <f>HLOOKUP(C$2,Models_Results!$B:$AP,$AC9,FALSE)</f>
        <v>-0.13200000000000001</v>
      </c>
      <c r="D9">
        <f>HLOOKUP(D$2,Models_Results!$B:$AP,$AC9,FALSE)</f>
        <v>-0.17499999999999999</v>
      </c>
      <c r="E9">
        <f>HLOOKUP(E$2,Models_Results!$B:$AP,$AC9,FALSE)</f>
        <v>-0.36899999999999999</v>
      </c>
      <c r="F9">
        <f>HLOOKUP(F$2,Models_Results!$B:$AP,$AC9,FALSE)</f>
        <v>-0.17699999999999999</v>
      </c>
      <c r="G9">
        <f>HLOOKUP(G$2,Models_Results!$B:$AP,$AC9,FALSE)</f>
        <v>-0.189</v>
      </c>
      <c r="H9">
        <f>HLOOKUP(H$2,Models_Results!$B:$AP,$AC9,FALSE)</f>
        <v>-0.42699999999999999</v>
      </c>
      <c r="I9">
        <f>HLOOKUP(I$2,Models_Results!$B:$AP,$AC9,FALSE)</f>
        <v>-0.315</v>
      </c>
      <c r="J9">
        <f>HLOOKUP(J$2,Models_Results!$B:$AP,$AC9,FALSE)</f>
        <v>-0.78200000000000003</v>
      </c>
      <c r="K9">
        <f>HLOOKUP(K$2,Models_Results!$B:$AP,$AC9,FALSE)</f>
        <v>0.14699999999999999</v>
      </c>
      <c r="N9" s="34">
        <f>HLOOKUP(N$2,Models_Results!$B:$AP,$AC9,FALSE)</f>
        <v>-7.4999999999999997E-2</v>
      </c>
      <c r="O9" s="34">
        <f>HLOOKUP(O$2,Models_Results!$B:$AP,$AC9,FALSE)</f>
        <v>0.182</v>
      </c>
      <c r="P9" s="34">
        <f>HLOOKUP(P$2,Models_Results!$B:$AP,$AC9,FALSE)</f>
        <v>-0.27200000000000002</v>
      </c>
      <c r="Q9" s="34">
        <f>HLOOKUP(Q$2,Models_Results!$B:$AP,$AC9,FALSE)</f>
        <v>0.49199999999999999</v>
      </c>
      <c r="R9" s="34">
        <f>HLOOKUP(R$2,Models_Results!$B:$AP,$AC9,FALSE)</f>
        <v>-0.15</v>
      </c>
      <c r="S9" s="34">
        <f>HLOOKUP(S$2,Models_Results!$B:$AP,$AC9,FALSE)</f>
        <v>0.36199999999999999</v>
      </c>
      <c r="T9" s="34">
        <f>HLOOKUP(T$2,Models_Results!$B:$AP,$AC9,FALSE)</f>
        <v>-7.4999999999999997E-2</v>
      </c>
      <c r="U9" s="34">
        <f>HLOOKUP(U$2,Models_Results!$B:$AP,$AC9,FALSE)</f>
        <v>0.182</v>
      </c>
      <c r="V9" s="34">
        <f>HLOOKUP(V$2,Models_Results!$B:$AP,$AC9,FALSE)</f>
        <v>-0.33200000000000002</v>
      </c>
      <c r="W9" s="34">
        <f>HLOOKUP(W$2,Models_Results!$B:$AP,$AC9,FALSE)</f>
        <v>0.57899999999999996</v>
      </c>
      <c r="X9" s="34">
        <f>HLOOKUP(X$2,Models_Results!$B:$AP,$AC9,FALSE)</f>
        <v>-0.17399999999999999</v>
      </c>
      <c r="Y9" s="34">
        <f>HLOOKUP(Y$2,Models_Results!$B:$AP,$AC9,FALSE)</f>
        <v>0.41499999999999998</v>
      </c>
      <c r="AC9">
        <v>6</v>
      </c>
    </row>
    <row r="10" spans="1:29" x14ac:dyDescent="0.2">
      <c r="A10">
        <f>A9+0.25</f>
        <v>2026.25</v>
      </c>
      <c r="C10">
        <f>HLOOKUP(C$2,Models_Results!$B:$AP,$AC10,FALSE)</f>
        <v>-7.4999999999999997E-2</v>
      </c>
      <c r="D10">
        <f>HLOOKUP(D$2,Models_Results!$B:$AP,$AC10,FALSE)</f>
        <v>-0.20100000000000001</v>
      </c>
      <c r="E10">
        <f>HLOOKUP(E$2,Models_Results!$B:$AP,$AC10,FALSE)</f>
        <v>-0.376</v>
      </c>
      <c r="F10">
        <f>HLOOKUP(F$2,Models_Results!$B:$AP,$AC10,FALSE)</f>
        <v>-0.122</v>
      </c>
      <c r="G10">
        <f>HLOOKUP(G$2,Models_Results!$B:$AP,$AC10,FALSE)</f>
        <v>-0.22</v>
      </c>
      <c r="H10">
        <f>HLOOKUP(H$2,Models_Results!$B:$AP,$AC10,FALSE)</f>
        <v>-0.44</v>
      </c>
      <c r="I10">
        <f>HLOOKUP(I$2,Models_Results!$B:$AP,$AC10,FALSE)</f>
        <v>-0.33200000000000002</v>
      </c>
      <c r="J10">
        <f>HLOOKUP(J$2,Models_Results!$B:$AP,$AC10,FALSE)</f>
        <v>-0.85199999999999998</v>
      </c>
      <c r="K10">
        <f>HLOOKUP(K$2,Models_Results!$B:$AP,$AC10,FALSE)</f>
        <v>0.185</v>
      </c>
      <c r="N10" s="34">
        <f>HLOOKUP(N$2,Models_Results!$B:$AP,$AC10,FALSE)</f>
        <v>4.5999999999999999E-2</v>
      </c>
      <c r="O10" s="34">
        <f>HLOOKUP(O$2,Models_Results!$B:$AP,$AC10,FALSE)</f>
        <v>9.2999999999999999E-2</v>
      </c>
      <c r="P10" s="34">
        <f>HLOOKUP(P$2,Models_Results!$B:$AP,$AC10,FALSE)</f>
        <v>-0.158</v>
      </c>
      <c r="Q10" s="34">
        <f>HLOOKUP(Q$2,Models_Results!$B:$AP,$AC10,FALSE)</f>
        <v>0.372</v>
      </c>
      <c r="R10" s="34">
        <f>HLOOKUP(R$2,Models_Results!$B:$AP,$AC10,FALSE)</f>
        <v>-3.4000000000000002E-2</v>
      </c>
      <c r="S10" s="34">
        <f>HLOOKUP(S$2,Models_Results!$B:$AP,$AC10,FALSE)</f>
        <v>0.25900000000000001</v>
      </c>
      <c r="T10" s="34">
        <f>HLOOKUP(T$2,Models_Results!$B:$AP,$AC10,FALSE)</f>
        <v>4.5999999999999999E-2</v>
      </c>
      <c r="U10" s="34">
        <f>HLOOKUP(U$2,Models_Results!$B:$AP,$AC10,FALSE)</f>
        <v>9.2999999999999999E-2</v>
      </c>
      <c r="V10" s="34">
        <f>HLOOKUP(V$2,Models_Results!$B:$AP,$AC10,FALSE)</f>
        <v>-0.219</v>
      </c>
      <c r="W10" s="34">
        <f>HLOOKUP(W$2,Models_Results!$B:$AP,$AC10,FALSE)</f>
        <v>0.45</v>
      </c>
      <c r="X10" s="34">
        <f>HLOOKUP(X$2,Models_Results!$B:$AP,$AC10,FALSE)</f>
        <v>-5.8999999999999997E-2</v>
      </c>
      <c r="Y10" s="34">
        <f>HLOOKUP(Y$2,Models_Results!$B:$AP,$AC10,FALSE)</f>
        <v>0.308</v>
      </c>
      <c r="AC10">
        <v>7</v>
      </c>
    </row>
    <row r="11" spans="1:29" x14ac:dyDescent="0.2">
      <c r="A11">
        <f t="shared" ref="A11:A74" si="0">A10+0.25</f>
        <v>2026.5</v>
      </c>
      <c r="C11">
        <f>HLOOKUP(C$2,Models_Results!$B:$AP,$AC11,FALSE)</f>
        <v>-0.02</v>
      </c>
      <c r="D11">
        <f>HLOOKUP(D$2,Models_Results!$B:$AP,$AC11,FALSE)</f>
        <v>-0.224</v>
      </c>
      <c r="E11">
        <f>HLOOKUP(E$2,Models_Results!$B:$AP,$AC11,FALSE)</f>
        <v>-0.36399999999999999</v>
      </c>
      <c r="F11">
        <f>HLOOKUP(F$2,Models_Results!$B:$AP,$AC11,FALSE)</f>
        <v>-6.7000000000000004E-2</v>
      </c>
      <c r="G11">
        <f>HLOOKUP(G$2,Models_Results!$B:$AP,$AC11,FALSE)</f>
        <v>-0.248</v>
      </c>
      <c r="H11">
        <f>HLOOKUP(H$2,Models_Results!$B:$AP,$AC11,FALSE)</f>
        <v>-0.435</v>
      </c>
      <c r="I11">
        <f>HLOOKUP(I$2,Models_Results!$B:$AP,$AC11,FALSE)</f>
        <v>-0.33600000000000002</v>
      </c>
      <c r="J11">
        <f>HLOOKUP(J$2,Models_Results!$B:$AP,$AC11,FALSE)</f>
        <v>-0.90700000000000003</v>
      </c>
      <c r="K11">
        <f>HLOOKUP(K$2,Models_Results!$B:$AP,$AC11,FALSE)</f>
        <v>0.23699999999999999</v>
      </c>
      <c r="N11" s="34">
        <f>HLOOKUP(N$2,Models_Results!$B:$AP,$AC11,FALSE)</f>
        <v>0.16500000000000001</v>
      </c>
      <c r="O11" s="34">
        <f>HLOOKUP(O$2,Models_Results!$B:$AP,$AC11,FALSE)</f>
        <v>1.4E-2</v>
      </c>
      <c r="P11" s="34">
        <f>HLOOKUP(P$2,Models_Results!$B:$AP,$AC11,FALSE)</f>
        <v>-0.04</v>
      </c>
      <c r="Q11" s="34">
        <f>HLOOKUP(Q$2,Models_Results!$B:$AP,$AC11,FALSE)</f>
        <v>0.26</v>
      </c>
      <c r="R11" s="34">
        <f>HLOOKUP(R$2,Models_Results!$B:$AP,$AC11,FALSE)</f>
        <v>8.3000000000000004E-2</v>
      </c>
      <c r="S11" s="34">
        <f>HLOOKUP(S$2,Models_Results!$B:$AP,$AC11,FALSE)</f>
        <v>0.16500000000000001</v>
      </c>
      <c r="T11" s="34">
        <f>HLOOKUP(T$2,Models_Results!$B:$AP,$AC11,FALSE)</f>
        <v>0.16500000000000001</v>
      </c>
      <c r="U11" s="34">
        <f>HLOOKUP(U$2,Models_Results!$B:$AP,$AC11,FALSE)</f>
        <v>1.4E-2</v>
      </c>
      <c r="V11" s="34">
        <f>HLOOKUP(V$2,Models_Results!$B:$AP,$AC11,FALSE)</f>
        <v>-0.10199999999999999</v>
      </c>
      <c r="W11" s="34">
        <f>HLOOKUP(W$2,Models_Results!$B:$AP,$AC11,FALSE)</f>
        <v>0.32700000000000001</v>
      </c>
      <c r="X11" s="34">
        <f>HLOOKUP(X$2,Models_Results!$B:$AP,$AC11,FALSE)</f>
        <v>5.7000000000000002E-2</v>
      </c>
      <c r="Y11" s="34">
        <f>HLOOKUP(Y$2,Models_Results!$B:$AP,$AC11,FALSE)</f>
        <v>0.20899999999999999</v>
      </c>
      <c r="AC11">
        <v>8</v>
      </c>
    </row>
    <row r="12" spans="1:29" x14ac:dyDescent="0.2">
      <c r="A12">
        <f t="shared" si="0"/>
        <v>2026.75</v>
      </c>
      <c r="C12">
        <f>HLOOKUP(C$2,Models_Results!$B:$AP,$AC12,FALSE)</f>
        <v>3.4000000000000002E-2</v>
      </c>
      <c r="D12">
        <f>HLOOKUP(D$2,Models_Results!$B:$AP,$AC12,FALSE)</f>
        <v>-0.24299999999999999</v>
      </c>
      <c r="E12">
        <f>HLOOKUP(E$2,Models_Results!$B:$AP,$AC12,FALSE)</f>
        <v>-0.33700000000000002</v>
      </c>
      <c r="F12">
        <f>HLOOKUP(F$2,Models_Results!$B:$AP,$AC12,FALSE)</f>
        <v>-1.4E-2</v>
      </c>
      <c r="G12">
        <f>HLOOKUP(G$2,Models_Results!$B:$AP,$AC12,FALSE)</f>
        <v>-0.27300000000000002</v>
      </c>
      <c r="H12">
        <f>HLOOKUP(H$2,Models_Results!$B:$AP,$AC12,FALSE)</f>
        <v>-0.41499999999999998</v>
      </c>
      <c r="I12">
        <f>HLOOKUP(I$2,Models_Results!$B:$AP,$AC12,FALSE)</f>
        <v>-0.32800000000000001</v>
      </c>
      <c r="J12">
        <f>HLOOKUP(J$2,Models_Results!$B:$AP,$AC12,FALSE)</f>
        <v>-0.94799999999999995</v>
      </c>
      <c r="K12">
        <f>HLOOKUP(K$2,Models_Results!$B:$AP,$AC12,FALSE)</f>
        <v>0.29699999999999999</v>
      </c>
      <c r="N12" s="34">
        <f>HLOOKUP(N$2,Models_Results!$B:$AP,$AC12,FALSE)</f>
        <v>0.28199999999999997</v>
      </c>
      <c r="O12" s="34">
        <f>HLOOKUP(O$2,Models_Results!$B:$AP,$AC12,FALSE)</f>
        <v>-5.3999999999999999E-2</v>
      </c>
      <c r="P12" s="34">
        <f>HLOOKUP(P$2,Models_Results!$B:$AP,$AC12,FALSE)</f>
        <v>7.8E-2</v>
      </c>
      <c r="Q12" s="34">
        <f>HLOOKUP(Q$2,Models_Results!$B:$AP,$AC12,FALSE)</f>
        <v>0.157</v>
      </c>
      <c r="R12" s="34">
        <f>HLOOKUP(R$2,Models_Results!$B:$AP,$AC12,FALSE)</f>
        <v>0.19900000000000001</v>
      </c>
      <c r="S12" s="34">
        <f>HLOOKUP(S$2,Models_Results!$B:$AP,$AC12,FALSE)</f>
        <v>8.1000000000000003E-2</v>
      </c>
      <c r="T12" s="34">
        <f>HLOOKUP(T$2,Models_Results!$B:$AP,$AC12,FALSE)</f>
        <v>0.28199999999999997</v>
      </c>
      <c r="U12" s="34">
        <f>HLOOKUP(U$2,Models_Results!$B:$AP,$AC12,FALSE)</f>
        <v>-5.3999999999999999E-2</v>
      </c>
      <c r="V12" s="34">
        <f>HLOOKUP(V$2,Models_Results!$B:$AP,$AC12,FALSE)</f>
        <v>1.7999999999999999E-2</v>
      </c>
      <c r="W12" s="34">
        <f>HLOOKUP(W$2,Models_Results!$B:$AP,$AC12,FALSE)</f>
        <v>0.214</v>
      </c>
      <c r="X12" s="34">
        <f>HLOOKUP(X$2,Models_Results!$B:$AP,$AC12,FALSE)</f>
        <v>0.17299999999999999</v>
      </c>
      <c r="Y12" s="34">
        <f>HLOOKUP(Y$2,Models_Results!$B:$AP,$AC12,FALSE)</f>
        <v>0.121</v>
      </c>
      <c r="AC12">
        <v>9</v>
      </c>
    </row>
    <row r="13" spans="1:29" x14ac:dyDescent="0.2">
      <c r="A13">
        <f t="shared" si="0"/>
        <v>2027</v>
      </c>
      <c r="C13">
        <f>HLOOKUP(C$2,Models_Results!$B:$AP,$AC13,FALSE)</f>
        <v>8.6999999999999994E-2</v>
      </c>
      <c r="D13">
        <f>HLOOKUP(D$2,Models_Results!$B:$AP,$AC13,FALSE)</f>
        <v>-0.25900000000000001</v>
      </c>
      <c r="E13">
        <f>HLOOKUP(E$2,Models_Results!$B:$AP,$AC13,FALSE)</f>
        <v>-0.29799999999999999</v>
      </c>
      <c r="F13">
        <f>HLOOKUP(F$2,Models_Results!$B:$AP,$AC13,FALSE)</f>
        <v>3.9E-2</v>
      </c>
      <c r="G13">
        <f>HLOOKUP(G$2,Models_Results!$B:$AP,$AC13,FALSE)</f>
        <v>-0.29499999999999998</v>
      </c>
      <c r="H13">
        <f>HLOOKUP(H$2,Models_Results!$B:$AP,$AC13,FALSE)</f>
        <v>-0.38200000000000001</v>
      </c>
      <c r="I13">
        <f>HLOOKUP(I$2,Models_Results!$B:$AP,$AC13,FALSE)</f>
        <v>-0.312</v>
      </c>
      <c r="J13">
        <f>HLOOKUP(J$2,Models_Results!$B:$AP,$AC13,FALSE)</f>
        <v>-0.97499999999999998</v>
      </c>
      <c r="K13">
        <f>HLOOKUP(K$2,Models_Results!$B:$AP,$AC13,FALSE)</f>
        <v>0.36399999999999999</v>
      </c>
      <c r="N13" s="34">
        <f>HLOOKUP(N$2,Models_Results!$B:$AP,$AC13,FALSE)</f>
        <v>0.39600000000000002</v>
      </c>
      <c r="O13" s="34">
        <f>HLOOKUP(O$2,Models_Results!$B:$AP,$AC13,FALSE)</f>
        <v>-0.11</v>
      </c>
      <c r="P13" s="34">
        <f>HLOOKUP(P$2,Models_Results!$B:$AP,$AC13,FALSE)</f>
        <v>0.19700000000000001</v>
      </c>
      <c r="Q13" s="34">
        <f>HLOOKUP(Q$2,Models_Results!$B:$AP,$AC13,FALSE)</f>
        <v>6.6000000000000003E-2</v>
      </c>
      <c r="R13" s="34">
        <f>HLOOKUP(R$2,Models_Results!$B:$AP,$AC13,FALSE)</f>
        <v>0.313</v>
      </c>
      <c r="S13" s="34">
        <f>HLOOKUP(S$2,Models_Results!$B:$AP,$AC13,FALSE)</f>
        <v>0.01</v>
      </c>
      <c r="T13" s="34">
        <f>HLOOKUP(T$2,Models_Results!$B:$AP,$AC13,FALSE)</f>
        <v>0.39600000000000002</v>
      </c>
      <c r="U13" s="34">
        <f>HLOOKUP(U$2,Models_Results!$B:$AP,$AC13,FALSE)</f>
        <v>-0.11</v>
      </c>
      <c r="V13" s="34">
        <f>HLOOKUP(V$2,Models_Results!$B:$AP,$AC13,FALSE)</f>
        <v>0.14000000000000001</v>
      </c>
      <c r="W13" s="34">
        <f>HLOOKUP(W$2,Models_Results!$B:$AP,$AC13,FALSE)</f>
        <v>0.112</v>
      </c>
      <c r="X13" s="34">
        <f>HLOOKUP(X$2,Models_Results!$B:$AP,$AC13,FALSE)</f>
        <v>0.28699999999999998</v>
      </c>
      <c r="Y13" s="34">
        <f>HLOOKUP(Y$2,Models_Results!$B:$AP,$AC13,FALSE)</f>
        <v>4.3999999999999997E-2</v>
      </c>
      <c r="AC13">
        <v>10</v>
      </c>
    </row>
    <row r="14" spans="1:29" x14ac:dyDescent="0.2">
      <c r="A14">
        <f t="shared" si="0"/>
        <v>2027.25</v>
      </c>
      <c r="C14">
        <f>HLOOKUP(C$2,Models_Results!$B:$AP,$AC14,FALSE)</f>
        <v>0.13800000000000001</v>
      </c>
      <c r="D14">
        <f>HLOOKUP(D$2,Models_Results!$B:$AP,$AC14,FALSE)</f>
        <v>-0.27200000000000002</v>
      </c>
      <c r="E14">
        <f>HLOOKUP(E$2,Models_Results!$B:$AP,$AC14,FALSE)</f>
        <v>-0.25</v>
      </c>
      <c r="F14">
        <f>HLOOKUP(F$2,Models_Results!$B:$AP,$AC14,FALSE)</f>
        <v>0.09</v>
      </c>
      <c r="G14">
        <f>HLOOKUP(G$2,Models_Results!$B:$AP,$AC14,FALSE)</f>
        <v>-0.313</v>
      </c>
      <c r="H14">
        <f>HLOOKUP(H$2,Models_Results!$B:$AP,$AC14,FALSE)</f>
        <v>-0.34</v>
      </c>
      <c r="I14">
        <f>HLOOKUP(I$2,Models_Results!$B:$AP,$AC14,FALSE)</f>
        <v>-0.28699999999999998</v>
      </c>
      <c r="J14">
        <f>HLOOKUP(J$2,Models_Results!$B:$AP,$AC14,FALSE)</f>
        <v>-0.99199999999999999</v>
      </c>
      <c r="K14">
        <f>HLOOKUP(K$2,Models_Results!$B:$AP,$AC14,FALSE)</f>
        <v>0.435</v>
      </c>
      <c r="N14" s="34">
        <f>HLOOKUP(N$2,Models_Results!$B:$AP,$AC14,FALSE)</f>
        <v>0.50600000000000001</v>
      </c>
      <c r="O14" s="34">
        <f>HLOOKUP(O$2,Models_Results!$B:$AP,$AC14,FALSE)</f>
        <v>-0.155</v>
      </c>
      <c r="P14" s="34">
        <f>HLOOKUP(P$2,Models_Results!$B:$AP,$AC14,FALSE)</f>
        <v>0.316</v>
      </c>
      <c r="Q14" s="34">
        <f>HLOOKUP(Q$2,Models_Results!$B:$AP,$AC14,FALSE)</f>
        <v>-1.4E-2</v>
      </c>
      <c r="R14" s="34">
        <f>HLOOKUP(R$2,Models_Results!$B:$AP,$AC14,FALSE)</f>
        <v>0.42499999999999999</v>
      </c>
      <c r="S14" s="34">
        <f>HLOOKUP(S$2,Models_Results!$B:$AP,$AC14,FALSE)</f>
        <v>-5.0999999999999997E-2</v>
      </c>
      <c r="T14" s="34">
        <f>HLOOKUP(T$2,Models_Results!$B:$AP,$AC14,FALSE)</f>
        <v>0.50600000000000001</v>
      </c>
      <c r="U14" s="34">
        <f>HLOOKUP(U$2,Models_Results!$B:$AP,$AC14,FALSE)</f>
        <v>-0.155</v>
      </c>
      <c r="V14" s="34">
        <f>HLOOKUP(V$2,Models_Results!$B:$AP,$AC14,FALSE)</f>
        <v>0.26300000000000001</v>
      </c>
      <c r="W14" s="34">
        <f>HLOOKUP(W$2,Models_Results!$B:$AP,$AC14,FALSE)</f>
        <v>2.1000000000000001E-2</v>
      </c>
      <c r="X14" s="34">
        <f>HLOOKUP(X$2,Models_Results!$B:$AP,$AC14,FALSE)</f>
        <v>0.39900000000000002</v>
      </c>
      <c r="Y14" s="34">
        <f>HLOOKUP(Y$2,Models_Results!$B:$AP,$AC14,FALSE)</f>
        <v>-2.1999999999999999E-2</v>
      </c>
      <c r="AC14">
        <v>11</v>
      </c>
    </row>
    <row r="15" spans="1:29" x14ac:dyDescent="0.2">
      <c r="A15">
        <f t="shared" si="0"/>
        <v>2027.5</v>
      </c>
      <c r="C15">
        <f>HLOOKUP(C$2,Models_Results!$B:$AP,$AC15,FALSE)</f>
        <v>0.188</v>
      </c>
      <c r="D15">
        <f>HLOOKUP(D$2,Models_Results!$B:$AP,$AC15,FALSE)</f>
        <v>-0.28100000000000003</v>
      </c>
      <c r="E15">
        <f>HLOOKUP(E$2,Models_Results!$B:$AP,$AC15,FALSE)</f>
        <v>-0.19600000000000001</v>
      </c>
      <c r="F15">
        <f>HLOOKUP(F$2,Models_Results!$B:$AP,$AC15,FALSE)</f>
        <v>0.14099999999999999</v>
      </c>
      <c r="G15">
        <f>HLOOKUP(G$2,Models_Results!$B:$AP,$AC15,FALSE)</f>
        <v>-0.32700000000000001</v>
      </c>
      <c r="H15">
        <f>HLOOKUP(H$2,Models_Results!$B:$AP,$AC15,FALSE)</f>
        <v>-0.28999999999999998</v>
      </c>
      <c r="I15">
        <f>HLOOKUP(I$2,Models_Results!$B:$AP,$AC15,FALSE)</f>
        <v>-0.25700000000000001</v>
      </c>
      <c r="J15">
        <f>HLOOKUP(J$2,Models_Results!$B:$AP,$AC15,FALSE)</f>
        <v>-1</v>
      </c>
      <c r="K15">
        <f>HLOOKUP(K$2,Models_Results!$B:$AP,$AC15,FALSE)</f>
        <v>0.50900000000000001</v>
      </c>
      <c r="N15" s="34">
        <f>HLOOKUP(N$2,Models_Results!$B:$AP,$AC15,FALSE)</f>
        <v>0.61199999999999999</v>
      </c>
      <c r="O15" s="34">
        <f>HLOOKUP(O$2,Models_Results!$B:$AP,$AC15,FALSE)</f>
        <v>-0.189</v>
      </c>
      <c r="P15" s="34">
        <f>HLOOKUP(P$2,Models_Results!$B:$AP,$AC15,FALSE)</f>
        <v>0.436</v>
      </c>
      <c r="Q15" s="34">
        <f>HLOOKUP(Q$2,Models_Results!$B:$AP,$AC15,FALSE)</f>
        <v>-8.3000000000000004E-2</v>
      </c>
      <c r="R15" s="34">
        <f>HLOOKUP(R$2,Models_Results!$B:$AP,$AC15,FALSE)</f>
        <v>0.53400000000000003</v>
      </c>
      <c r="S15" s="34">
        <f>HLOOKUP(S$2,Models_Results!$B:$AP,$AC15,FALSE)</f>
        <v>-0.10100000000000001</v>
      </c>
      <c r="T15" s="34">
        <f>HLOOKUP(T$2,Models_Results!$B:$AP,$AC15,FALSE)</f>
        <v>0.61199999999999999</v>
      </c>
      <c r="U15" s="34">
        <f>HLOOKUP(U$2,Models_Results!$B:$AP,$AC15,FALSE)</f>
        <v>-0.189</v>
      </c>
      <c r="V15" s="34">
        <f>HLOOKUP(V$2,Models_Results!$B:$AP,$AC15,FALSE)</f>
        <v>0.38700000000000001</v>
      </c>
      <c r="W15" s="34">
        <f>HLOOKUP(W$2,Models_Results!$B:$AP,$AC15,FALSE)</f>
        <v>-5.8999999999999997E-2</v>
      </c>
      <c r="X15" s="34">
        <f>HLOOKUP(X$2,Models_Results!$B:$AP,$AC15,FALSE)</f>
        <v>0.51</v>
      </c>
      <c r="Y15" s="34">
        <f>HLOOKUP(Y$2,Models_Results!$B:$AP,$AC15,FALSE)</f>
        <v>-7.6999999999999999E-2</v>
      </c>
      <c r="AC15">
        <v>12</v>
      </c>
    </row>
    <row r="16" spans="1:29" x14ac:dyDescent="0.2">
      <c r="A16">
        <f t="shared" si="0"/>
        <v>2027.75</v>
      </c>
      <c r="C16">
        <f>HLOOKUP(C$2,Models_Results!$B:$AP,$AC16,FALSE)</f>
        <v>0.23599999999999999</v>
      </c>
      <c r="D16">
        <f>HLOOKUP(D$2,Models_Results!$B:$AP,$AC16,FALSE)</f>
        <v>-0.28699999999999998</v>
      </c>
      <c r="E16">
        <f>HLOOKUP(E$2,Models_Results!$B:$AP,$AC16,FALSE)</f>
        <v>-0.13600000000000001</v>
      </c>
      <c r="F16">
        <f>HLOOKUP(F$2,Models_Results!$B:$AP,$AC16,FALSE)</f>
        <v>0.19</v>
      </c>
      <c r="G16">
        <f>HLOOKUP(G$2,Models_Results!$B:$AP,$AC16,FALSE)</f>
        <v>-0.33800000000000002</v>
      </c>
      <c r="H16">
        <f>HLOOKUP(H$2,Models_Results!$B:$AP,$AC16,FALSE)</f>
        <v>-0.23400000000000001</v>
      </c>
      <c r="I16">
        <f>HLOOKUP(I$2,Models_Results!$B:$AP,$AC16,FALSE)</f>
        <v>-0.222</v>
      </c>
      <c r="J16">
        <f>HLOOKUP(J$2,Models_Results!$B:$AP,$AC16,FALSE)</f>
        <v>-0.999</v>
      </c>
      <c r="K16">
        <f>HLOOKUP(K$2,Models_Results!$B:$AP,$AC16,FALSE)</f>
        <v>0.58399999999999996</v>
      </c>
      <c r="N16" s="34">
        <f>HLOOKUP(N$2,Models_Results!$B:$AP,$AC16,FALSE)</f>
        <v>0.71599999999999997</v>
      </c>
      <c r="O16" s="34">
        <f>HLOOKUP(O$2,Models_Results!$B:$AP,$AC16,FALSE)</f>
        <v>-0.21299999999999999</v>
      </c>
      <c r="P16" s="34">
        <f>HLOOKUP(P$2,Models_Results!$B:$AP,$AC16,FALSE)</f>
        <v>0.55500000000000005</v>
      </c>
      <c r="Q16" s="34">
        <f>HLOOKUP(Q$2,Models_Results!$B:$AP,$AC16,FALSE)</f>
        <v>-0.14199999999999999</v>
      </c>
      <c r="R16" s="34">
        <f>HLOOKUP(R$2,Models_Results!$B:$AP,$AC16,FALSE)</f>
        <v>0.64200000000000002</v>
      </c>
      <c r="S16" s="34">
        <f>HLOOKUP(S$2,Models_Results!$B:$AP,$AC16,FALSE)</f>
        <v>-0.14099999999999999</v>
      </c>
      <c r="T16" s="34">
        <f>HLOOKUP(T$2,Models_Results!$B:$AP,$AC16,FALSE)</f>
        <v>0.71599999999999997</v>
      </c>
      <c r="U16" s="34">
        <f>HLOOKUP(U$2,Models_Results!$B:$AP,$AC16,FALSE)</f>
        <v>-0.21299999999999999</v>
      </c>
      <c r="V16" s="34">
        <f>HLOOKUP(V$2,Models_Results!$B:$AP,$AC16,FALSE)</f>
        <v>0.51100000000000001</v>
      </c>
      <c r="W16" s="34">
        <f>HLOOKUP(W$2,Models_Results!$B:$AP,$AC16,FALSE)</f>
        <v>-0.129</v>
      </c>
      <c r="X16" s="34">
        <f>HLOOKUP(X$2,Models_Results!$B:$AP,$AC16,FALSE)</f>
        <v>0.62</v>
      </c>
      <c r="Y16" s="34">
        <f>HLOOKUP(Y$2,Models_Results!$B:$AP,$AC16,FALSE)</f>
        <v>-0.122</v>
      </c>
      <c r="AC16">
        <v>13</v>
      </c>
    </row>
    <row r="17" spans="1:29" x14ac:dyDescent="0.2">
      <c r="A17">
        <f t="shared" si="0"/>
        <v>2028</v>
      </c>
      <c r="C17">
        <f>HLOOKUP(C$2,Models_Results!$B:$AP,$AC17,FALSE)</f>
        <v>0.28299999999999997</v>
      </c>
      <c r="D17">
        <f>HLOOKUP(D$2,Models_Results!$B:$AP,$AC17,FALSE)</f>
        <v>-0.28899999999999998</v>
      </c>
      <c r="E17">
        <f>HLOOKUP(E$2,Models_Results!$B:$AP,$AC17,FALSE)</f>
        <v>-7.1999999999999995E-2</v>
      </c>
      <c r="F17">
        <f>HLOOKUP(F$2,Models_Results!$B:$AP,$AC17,FALSE)</f>
        <v>0.23899999999999999</v>
      </c>
      <c r="G17">
        <f>HLOOKUP(G$2,Models_Results!$B:$AP,$AC17,FALSE)</f>
        <v>-0.34599999999999997</v>
      </c>
      <c r="H17">
        <f>HLOOKUP(H$2,Models_Results!$B:$AP,$AC17,FALSE)</f>
        <v>-0.17399999999999999</v>
      </c>
      <c r="I17">
        <f>HLOOKUP(I$2,Models_Results!$B:$AP,$AC17,FALSE)</f>
        <v>-0.184</v>
      </c>
      <c r="J17">
        <f>HLOOKUP(J$2,Models_Results!$B:$AP,$AC17,FALSE)</f>
        <v>-0.99099999999999999</v>
      </c>
      <c r="K17">
        <f>HLOOKUP(K$2,Models_Results!$B:$AP,$AC17,FALSE)</f>
        <v>0.66</v>
      </c>
      <c r="N17" s="34">
        <f>HLOOKUP(N$2,Models_Results!$B:$AP,$AC17,FALSE)</f>
        <v>0.81599999999999995</v>
      </c>
      <c r="O17" s="34">
        <f>HLOOKUP(O$2,Models_Results!$B:$AP,$AC17,FALSE)</f>
        <v>-0.22800000000000001</v>
      </c>
      <c r="P17" s="34">
        <f>HLOOKUP(P$2,Models_Results!$B:$AP,$AC17,FALSE)</f>
        <v>0.67400000000000004</v>
      </c>
      <c r="Q17" s="34">
        <f>HLOOKUP(Q$2,Models_Results!$B:$AP,$AC17,FALSE)</f>
        <v>-0.19</v>
      </c>
      <c r="R17" s="34">
        <f>HLOOKUP(R$2,Models_Results!$B:$AP,$AC17,FALSE)</f>
        <v>0.748</v>
      </c>
      <c r="S17" s="34">
        <f>HLOOKUP(S$2,Models_Results!$B:$AP,$AC17,FALSE)</f>
        <v>-0.17199999999999999</v>
      </c>
      <c r="T17" s="34">
        <f>HLOOKUP(T$2,Models_Results!$B:$AP,$AC17,FALSE)</f>
        <v>0.81599999999999995</v>
      </c>
      <c r="U17" s="34">
        <f>HLOOKUP(U$2,Models_Results!$B:$AP,$AC17,FALSE)</f>
        <v>-0.22800000000000001</v>
      </c>
      <c r="V17" s="34">
        <f>HLOOKUP(V$2,Models_Results!$B:$AP,$AC17,FALSE)</f>
        <v>0.63700000000000001</v>
      </c>
      <c r="W17" s="34">
        <f>HLOOKUP(W$2,Models_Results!$B:$AP,$AC17,FALSE)</f>
        <v>-0.187</v>
      </c>
      <c r="X17" s="34">
        <f>HLOOKUP(X$2,Models_Results!$B:$AP,$AC17,FALSE)</f>
        <v>0.72799999999999998</v>
      </c>
      <c r="Y17" s="34">
        <f>HLOOKUP(Y$2,Models_Results!$B:$AP,$AC17,FALSE)</f>
        <v>-0.158</v>
      </c>
      <c r="AC17">
        <v>14</v>
      </c>
    </row>
    <row r="18" spans="1:29" x14ac:dyDescent="0.2">
      <c r="A18">
        <f t="shared" si="0"/>
        <v>2028.25</v>
      </c>
      <c r="C18">
        <f>HLOOKUP(C$2,Models_Results!$B:$AP,$AC18,FALSE)</f>
        <v>0.32900000000000001</v>
      </c>
      <c r="D18">
        <f>HLOOKUP(D$2,Models_Results!$B:$AP,$AC18,FALSE)</f>
        <v>-0.28899999999999998</v>
      </c>
      <c r="E18">
        <f>HLOOKUP(E$2,Models_Results!$B:$AP,$AC18,FALSE)</f>
        <v>-6.0000000000000001E-3</v>
      </c>
      <c r="F18">
        <f>HLOOKUP(F$2,Models_Results!$B:$AP,$AC18,FALSE)</f>
        <v>0.28599999999999998</v>
      </c>
      <c r="G18">
        <f>HLOOKUP(G$2,Models_Results!$B:$AP,$AC18,FALSE)</f>
        <v>-0.35</v>
      </c>
      <c r="H18">
        <f>HLOOKUP(H$2,Models_Results!$B:$AP,$AC18,FALSE)</f>
        <v>-0.111</v>
      </c>
      <c r="I18">
        <f>HLOOKUP(I$2,Models_Results!$B:$AP,$AC18,FALSE)</f>
        <v>-0.14199999999999999</v>
      </c>
      <c r="J18">
        <f>HLOOKUP(J$2,Models_Results!$B:$AP,$AC18,FALSE)</f>
        <v>-0.97599999999999998</v>
      </c>
      <c r="K18">
        <f>HLOOKUP(K$2,Models_Results!$B:$AP,$AC18,FALSE)</f>
        <v>0.73599999999999999</v>
      </c>
      <c r="N18" s="34">
        <f>HLOOKUP(N$2,Models_Results!$B:$AP,$AC18,FALSE)</f>
        <v>0.91300000000000003</v>
      </c>
      <c r="O18" s="34">
        <f>HLOOKUP(O$2,Models_Results!$B:$AP,$AC18,FALSE)</f>
        <v>-0.23300000000000001</v>
      </c>
      <c r="P18" s="34">
        <f>HLOOKUP(P$2,Models_Results!$B:$AP,$AC18,FALSE)</f>
        <v>0.79200000000000004</v>
      </c>
      <c r="Q18" s="34">
        <f>HLOOKUP(Q$2,Models_Results!$B:$AP,$AC18,FALSE)</f>
        <v>-0.22800000000000001</v>
      </c>
      <c r="R18" s="34">
        <f>HLOOKUP(R$2,Models_Results!$B:$AP,$AC18,FALSE)</f>
        <v>0.85199999999999998</v>
      </c>
      <c r="S18" s="34">
        <f>HLOOKUP(S$2,Models_Results!$B:$AP,$AC18,FALSE)</f>
        <v>-0.192</v>
      </c>
      <c r="T18" s="34">
        <f>HLOOKUP(T$2,Models_Results!$B:$AP,$AC18,FALSE)</f>
        <v>0.91300000000000003</v>
      </c>
      <c r="U18" s="34">
        <f>HLOOKUP(U$2,Models_Results!$B:$AP,$AC18,FALSE)</f>
        <v>-0.23300000000000001</v>
      </c>
      <c r="V18" s="34">
        <f>HLOOKUP(V$2,Models_Results!$B:$AP,$AC18,FALSE)</f>
        <v>0.76300000000000001</v>
      </c>
      <c r="W18" s="34">
        <f>HLOOKUP(W$2,Models_Results!$B:$AP,$AC18,FALSE)</f>
        <v>-0.23499999999999999</v>
      </c>
      <c r="X18" s="34">
        <f>HLOOKUP(X$2,Models_Results!$B:$AP,$AC18,FALSE)</f>
        <v>0.83399999999999996</v>
      </c>
      <c r="Y18" s="34">
        <f>HLOOKUP(Y$2,Models_Results!$B:$AP,$AC18,FALSE)</f>
        <v>-0.183</v>
      </c>
      <c r="AC18">
        <v>15</v>
      </c>
    </row>
    <row r="19" spans="1:29" x14ac:dyDescent="0.2">
      <c r="A19">
        <f t="shared" si="0"/>
        <v>2028.5</v>
      </c>
      <c r="C19">
        <f>HLOOKUP(C$2,Models_Results!$B:$AP,$AC19,FALSE)</f>
        <v>0.374</v>
      </c>
      <c r="D19">
        <f>HLOOKUP(D$2,Models_Results!$B:$AP,$AC19,FALSE)</f>
        <v>-0.28599999999999998</v>
      </c>
      <c r="E19">
        <f>HLOOKUP(E$2,Models_Results!$B:$AP,$AC19,FALSE)</f>
        <v>6.0999999999999999E-2</v>
      </c>
      <c r="F19">
        <f>HLOOKUP(F$2,Models_Results!$B:$AP,$AC19,FALSE)</f>
        <v>0.33300000000000002</v>
      </c>
      <c r="G19">
        <f>HLOOKUP(G$2,Models_Results!$B:$AP,$AC19,FALSE)</f>
        <v>-0.35199999999999998</v>
      </c>
      <c r="H19">
        <f>HLOOKUP(H$2,Models_Results!$B:$AP,$AC19,FALSE)</f>
        <v>-4.4999999999999998E-2</v>
      </c>
      <c r="I19">
        <f>HLOOKUP(I$2,Models_Results!$B:$AP,$AC19,FALSE)</f>
        <v>-9.8000000000000004E-2</v>
      </c>
      <c r="J19">
        <f>HLOOKUP(J$2,Models_Results!$B:$AP,$AC19,FALSE)</f>
        <v>-0.95599999999999996</v>
      </c>
      <c r="K19">
        <f>HLOOKUP(K$2,Models_Results!$B:$AP,$AC19,FALSE)</f>
        <v>0.81100000000000005</v>
      </c>
      <c r="N19" s="34">
        <f>HLOOKUP(N$2,Models_Results!$B:$AP,$AC19,FALSE)</f>
        <v>1.0069999999999999</v>
      </c>
      <c r="O19" s="34">
        <f>HLOOKUP(O$2,Models_Results!$B:$AP,$AC19,FALSE)</f>
        <v>-0.23100000000000001</v>
      </c>
      <c r="P19" s="34">
        <f>HLOOKUP(P$2,Models_Results!$B:$AP,$AC19,FALSE)</f>
        <v>0.91100000000000003</v>
      </c>
      <c r="Q19" s="34">
        <f>HLOOKUP(Q$2,Models_Results!$B:$AP,$AC19,FALSE)</f>
        <v>-0.25700000000000001</v>
      </c>
      <c r="R19" s="34">
        <f>HLOOKUP(R$2,Models_Results!$B:$AP,$AC19,FALSE)</f>
        <v>0.95399999999999996</v>
      </c>
      <c r="S19" s="34">
        <f>HLOOKUP(S$2,Models_Results!$B:$AP,$AC19,FALSE)</f>
        <v>-0.20499999999999999</v>
      </c>
      <c r="T19" s="34">
        <f>HLOOKUP(T$2,Models_Results!$B:$AP,$AC19,FALSE)</f>
        <v>1.0069999999999999</v>
      </c>
      <c r="U19" s="34">
        <f>HLOOKUP(U$2,Models_Results!$B:$AP,$AC19,FALSE)</f>
        <v>-0.23100000000000001</v>
      </c>
      <c r="V19" s="34">
        <f>HLOOKUP(V$2,Models_Results!$B:$AP,$AC19,FALSE)</f>
        <v>0.89</v>
      </c>
      <c r="W19" s="34">
        <f>HLOOKUP(W$2,Models_Results!$B:$AP,$AC19,FALSE)</f>
        <v>-0.27300000000000002</v>
      </c>
      <c r="X19" s="34">
        <f>HLOOKUP(X$2,Models_Results!$B:$AP,$AC19,FALSE)</f>
        <v>0.93799999999999994</v>
      </c>
      <c r="Y19" s="34">
        <f>HLOOKUP(Y$2,Models_Results!$B:$AP,$AC19,FALSE)</f>
        <v>-0.2</v>
      </c>
      <c r="AC19">
        <v>16</v>
      </c>
    </row>
    <row r="20" spans="1:29" x14ac:dyDescent="0.2">
      <c r="A20">
        <f t="shared" si="0"/>
        <v>2028.75</v>
      </c>
      <c r="C20">
        <f>HLOOKUP(C$2,Models_Results!$B:$AP,$AC20,FALSE)</f>
        <v>0.41699999999999998</v>
      </c>
      <c r="D20">
        <f>HLOOKUP(D$2,Models_Results!$B:$AP,$AC20,FALSE)</f>
        <v>-0.28000000000000003</v>
      </c>
      <c r="E20">
        <f>HLOOKUP(E$2,Models_Results!$B:$AP,$AC20,FALSE)</f>
        <v>0.13</v>
      </c>
      <c r="F20">
        <f>HLOOKUP(F$2,Models_Results!$B:$AP,$AC20,FALSE)</f>
        <v>0.379</v>
      </c>
      <c r="G20">
        <f>HLOOKUP(G$2,Models_Results!$B:$AP,$AC20,FALSE)</f>
        <v>-0.35099999999999998</v>
      </c>
      <c r="H20">
        <f>HLOOKUP(H$2,Models_Results!$B:$AP,$AC20,FALSE)</f>
        <v>2.1999999999999999E-2</v>
      </c>
      <c r="I20">
        <f>HLOOKUP(I$2,Models_Results!$B:$AP,$AC20,FALSE)</f>
        <v>-5.1999999999999998E-2</v>
      </c>
      <c r="J20">
        <f>HLOOKUP(J$2,Models_Results!$B:$AP,$AC20,FALSE)</f>
        <v>-0.93100000000000005</v>
      </c>
      <c r="K20">
        <f>HLOOKUP(K$2,Models_Results!$B:$AP,$AC20,FALSE)</f>
        <v>0.88600000000000001</v>
      </c>
      <c r="N20" s="34">
        <f>HLOOKUP(N$2,Models_Results!$B:$AP,$AC20,FALSE)</f>
        <v>1.0980000000000001</v>
      </c>
      <c r="O20" s="34">
        <f>HLOOKUP(O$2,Models_Results!$B:$AP,$AC20,FALSE)</f>
        <v>-0.221</v>
      </c>
      <c r="P20" s="34">
        <f>HLOOKUP(P$2,Models_Results!$B:$AP,$AC20,FALSE)</f>
        <v>1.0289999999999999</v>
      </c>
      <c r="Q20" s="34">
        <f>HLOOKUP(Q$2,Models_Results!$B:$AP,$AC20,FALSE)</f>
        <v>-0.27600000000000002</v>
      </c>
      <c r="R20" s="34">
        <f>HLOOKUP(R$2,Models_Results!$B:$AP,$AC20,FALSE)</f>
        <v>1.054</v>
      </c>
      <c r="S20" s="34">
        <f>HLOOKUP(S$2,Models_Results!$B:$AP,$AC20,FALSE)</f>
        <v>-0.20799999999999999</v>
      </c>
      <c r="T20" s="34">
        <f>HLOOKUP(T$2,Models_Results!$B:$AP,$AC20,FALSE)</f>
        <v>1.0980000000000001</v>
      </c>
      <c r="U20" s="34">
        <f>HLOOKUP(U$2,Models_Results!$B:$AP,$AC20,FALSE)</f>
        <v>-0.221</v>
      </c>
      <c r="V20" s="34">
        <f>HLOOKUP(V$2,Models_Results!$B:$AP,$AC20,FALSE)</f>
        <v>1.018</v>
      </c>
      <c r="W20" s="34">
        <f>HLOOKUP(W$2,Models_Results!$B:$AP,$AC20,FALSE)</f>
        <v>-0.30099999999999999</v>
      </c>
      <c r="X20" s="34">
        <f>HLOOKUP(X$2,Models_Results!$B:$AP,$AC20,FALSE)</f>
        <v>1.042</v>
      </c>
      <c r="Y20" s="34">
        <f>HLOOKUP(Y$2,Models_Results!$B:$AP,$AC20,FALSE)</f>
        <v>-0.20799999999999999</v>
      </c>
      <c r="AC20">
        <v>17</v>
      </c>
    </row>
    <row r="21" spans="1:29" x14ac:dyDescent="0.2">
      <c r="A21">
        <f t="shared" si="0"/>
        <v>2029</v>
      </c>
      <c r="C21">
        <f>HLOOKUP(C$2,Models_Results!$B:$AP,$AC21,FALSE)</f>
        <v>0.45900000000000002</v>
      </c>
      <c r="D21">
        <f>HLOOKUP(D$2,Models_Results!$B:$AP,$AC21,FALSE)</f>
        <v>-0.27200000000000002</v>
      </c>
      <c r="E21">
        <f>HLOOKUP(E$2,Models_Results!$B:$AP,$AC21,FALSE)</f>
        <v>0.19900000000000001</v>
      </c>
      <c r="F21">
        <f>HLOOKUP(F$2,Models_Results!$B:$AP,$AC21,FALSE)</f>
        <v>0.42399999999999999</v>
      </c>
      <c r="G21">
        <f>HLOOKUP(G$2,Models_Results!$B:$AP,$AC21,FALSE)</f>
        <v>-0.34599999999999997</v>
      </c>
      <c r="H21">
        <f>HLOOKUP(H$2,Models_Results!$B:$AP,$AC21,FALSE)</f>
        <v>9.0999999999999998E-2</v>
      </c>
      <c r="I21">
        <f>HLOOKUP(I$2,Models_Results!$B:$AP,$AC21,FALSE)</f>
        <v>-5.0000000000000001E-3</v>
      </c>
      <c r="J21">
        <f>HLOOKUP(J$2,Models_Results!$B:$AP,$AC21,FALSE)</f>
        <v>-0.90100000000000002</v>
      </c>
      <c r="K21">
        <f>HLOOKUP(K$2,Models_Results!$B:$AP,$AC21,FALSE)</f>
        <v>0.95799999999999996</v>
      </c>
      <c r="N21" s="34">
        <f>HLOOKUP(N$2,Models_Results!$B:$AP,$AC21,FALSE)</f>
        <v>1.1859999999999999</v>
      </c>
      <c r="O21" s="34">
        <f>HLOOKUP(O$2,Models_Results!$B:$AP,$AC21,FALSE)</f>
        <v>-0.20399999999999999</v>
      </c>
      <c r="P21" s="34">
        <f>HLOOKUP(P$2,Models_Results!$B:$AP,$AC21,FALSE)</f>
        <v>1.147</v>
      </c>
      <c r="Q21" s="34">
        <f>HLOOKUP(Q$2,Models_Results!$B:$AP,$AC21,FALSE)</f>
        <v>-0.28599999999999998</v>
      </c>
      <c r="R21" s="34">
        <f>HLOOKUP(R$2,Models_Results!$B:$AP,$AC21,FALSE)</f>
        <v>1.1519999999999999</v>
      </c>
      <c r="S21" s="34">
        <f>HLOOKUP(S$2,Models_Results!$B:$AP,$AC21,FALSE)</f>
        <v>-0.20399999999999999</v>
      </c>
      <c r="T21" s="34">
        <f>HLOOKUP(T$2,Models_Results!$B:$AP,$AC21,FALSE)</f>
        <v>1.1859999999999999</v>
      </c>
      <c r="U21" s="34">
        <f>HLOOKUP(U$2,Models_Results!$B:$AP,$AC21,FALSE)</f>
        <v>-0.20399999999999999</v>
      </c>
      <c r="V21" s="34">
        <f>HLOOKUP(V$2,Models_Results!$B:$AP,$AC21,FALSE)</f>
        <v>1.1459999999999999</v>
      </c>
      <c r="W21" s="34">
        <f>HLOOKUP(W$2,Models_Results!$B:$AP,$AC21,FALSE)</f>
        <v>-0.31900000000000001</v>
      </c>
      <c r="X21" s="34">
        <f>HLOOKUP(X$2,Models_Results!$B:$AP,$AC21,FALSE)</f>
        <v>1.143</v>
      </c>
      <c r="Y21" s="34">
        <f>HLOOKUP(Y$2,Models_Results!$B:$AP,$AC21,FALSE)</f>
        <v>-0.20799999999999999</v>
      </c>
      <c r="AC21">
        <v>18</v>
      </c>
    </row>
    <row r="22" spans="1:29" x14ac:dyDescent="0.2">
      <c r="A22">
        <f t="shared" si="0"/>
        <v>2029.25</v>
      </c>
      <c r="C22">
        <f>HLOOKUP(C$2,Models_Results!$B:$AP,$AC22,FALSE)</f>
        <v>0.501</v>
      </c>
      <c r="D22">
        <f>HLOOKUP(D$2,Models_Results!$B:$AP,$AC22,FALSE)</f>
        <v>-0.26100000000000001</v>
      </c>
      <c r="E22">
        <f>HLOOKUP(E$2,Models_Results!$B:$AP,$AC22,FALSE)</f>
        <v>0.26800000000000002</v>
      </c>
      <c r="F22">
        <f>HLOOKUP(F$2,Models_Results!$B:$AP,$AC22,FALSE)</f>
        <v>0.46899999999999997</v>
      </c>
      <c r="G22">
        <f>HLOOKUP(G$2,Models_Results!$B:$AP,$AC22,FALSE)</f>
        <v>-0.33900000000000002</v>
      </c>
      <c r="H22">
        <f>HLOOKUP(H$2,Models_Results!$B:$AP,$AC22,FALSE)</f>
        <v>0.16</v>
      </c>
      <c r="I22">
        <f>HLOOKUP(I$2,Models_Results!$B:$AP,$AC22,FALSE)</f>
        <v>4.3999999999999997E-2</v>
      </c>
      <c r="J22">
        <f>HLOOKUP(J$2,Models_Results!$B:$AP,$AC22,FALSE)</f>
        <v>-0.86599999999999999</v>
      </c>
      <c r="K22">
        <f>HLOOKUP(K$2,Models_Results!$B:$AP,$AC22,FALSE)</f>
        <v>1.0289999999999999</v>
      </c>
      <c r="N22" s="34">
        <f>HLOOKUP(N$2,Models_Results!$B:$AP,$AC22,FALSE)</f>
        <v>1.272</v>
      </c>
      <c r="O22" s="34">
        <f>HLOOKUP(O$2,Models_Results!$B:$AP,$AC22,FALSE)</f>
        <v>-0.18</v>
      </c>
      <c r="P22" s="34">
        <f>HLOOKUP(P$2,Models_Results!$B:$AP,$AC22,FALSE)</f>
        <v>1.2649999999999999</v>
      </c>
      <c r="Q22" s="34">
        <f>HLOOKUP(Q$2,Models_Results!$B:$AP,$AC22,FALSE)</f>
        <v>-0.28699999999999998</v>
      </c>
      <c r="R22" s="34">
        <f>HLOOKUP(R$2,Models_Results!$B:$AP,$AC22,FALSE)</f>
        <v>1.248</v>
      </c>
      <c r="S22" s="34">
        <f>HLOOKUP(S$2,Models_Results!$B:$AP,$AC22,FALSE)</f>
        <v>-0.193</v>
      </c>
      <c r="T22" s="34">
        <f>HLOOKUP(T$2,Models_Results!$B:$AP,$AC22,FALSE)</f>
        <v>1.272</v>
      </c>
      <c r="U22" s="34">
        <f>HLOOKUP(U$2,Models_Results!$B:$AP,$AC22,FALSE)</f>
        <v>-0.18</v>
      </c>
      <c r="V22" s="34">
        <f>HLOOKUP(V$2,Models_Results!$B:$AP,$AC22,FALSE)</f>
        <v>1.274</v>
      </c>
      <c r="W22" s="34">
        <f>HLOOKUP(W$2,Models_Results!$B:$AP,$AC22,FALSE)</f>
        <v>-0.32800000000000001</v>
      </c>
      <c r="X22" s="34">
        <f>HLOOKUP(X$2,Models_Results!$B:$AP,$AC22,FALSE)</f>
        <v>1.244</v>
      </c>
      <c r="Y22" s="34">
        <f>HLOOKUP(Y$2,Models_Results!$B:$AP,$AC22,FALSE)</f>
        <v>-0.2</v>
      </c>
      <c r="AC22">
        <v>19</v>
      </c>
    </row>
    <row r="23" spans="1:29" x14ac:dyDescent="0.2">
      <c r="A23">
        <f t="shared" si="0"/>
        <v>2029.5</v>
      </c>
      <c r="C23">
        <f>HLOOKUP(C$2,Models_Results!$B:$AP,$AC23,FALSE)</f>
        <v>0.54100000000000004</v>
      </c>
      <c r="D23">
        <f>HLOOKUP(D$2,Models_Results!$B:$AP,$AC23,FALSE)</f>
        <v>-0.247</v>
      </c>
      <c r="E23">
        <f>HLOOKUP(E$2,Models_Results!$B:$AP,$AC23,FALSE)</f>
        <v>0.33700000000000002</v>
      </c>
      <c r="F23">
        <f>HLOOKUP(F$2,Models_Results!$B:$AP,$AC23,FALSE)</f>
        <v>0.51300000000000001</v>
      </c>
      <c r="G23">
        <f>HLOOKUP(G$2,Models_Results!$B:$AP,$AC23,FALSE)</f>
        <v>-0.33</v>
      </c>
      <c r="H23">
        <f>HLOOKUP(H$2,Models_Results!$B:$AP,$AC23,FALSE)</f>
        <v>0.23</v>
      </c>
      <c r="I23">
        <f>HLOOKUP(I$2,Models_Results!$B:$AP,$AC23,FALSE)</f>
        <v>9.4E-2</v>
      </c>
      <c r="J23">
        <f>HLOOKUP(J$2,Models_Results!$B:$AP,$AC23,FALSE)</f>
        <v>-0.82599999999999996</v>
      </c>
      <c r="K23">
        <f>HLOOKUP(K$2,Models_Results!$B:$AP,$AC23,FALSE)</f>
        <v>1.097</v>
      </c>
      <c r="N23" s="34">
        <f>HLOOKUP(N$2,Models_Results!$B:$AP,$AC23,FALSE)</f>
        <v>1.355</v>
      </c>
      <c r="O23" s="34">
        <f>HLOOKUP(O$2,Models_Results!$B:$AP,$AC23,FALSE)</f>
        <v>-0.15</v>
      </c>
      <c r="P23" s="34">
        <f>HLOOKUP(P$2,Models_Results!$B:$AP,$AC23,FALSE)</f>
        <v>1.3819999999999999</v>
      </c>
      <c r="Q23" s="34">
        <f>HLOOKUP(Q$2,Models_Results!$B:$AP,$AC23,FALSE)</f>
        <v>-0.28000000000000003</v>
      </c>
      <c r="R23" s="34">
        <f>HLOOKUP(R$2,Models_Results!$B:$AP,$AC23,FALSE)</f>
        <v>1.343</v>
      </c>
      <c r="S23" s="34">
        <f>HLOOKUP(S$2,Models_Results!$B:$AP,$AC23,FALSE)</f>
        <v>-0.17399999999999999</v>
      </c>
      <c r="T23" s="34">
        <f>HLOOKUP(T$2,Models_Results!$B:$AP,$AC23,FALSE)</f>
        <v>1.355</v>
      </c>
      <c r="U23" s="34">
        <f>HLOOKUP(U$2,Models_Results!$B:$AP,$AC23,FALSE)</f>
        <v>-0.15</v>
      </c>
      <c r="V23" s="34">
        <f>HLOOKUP(V$2,Models_Results!$B:$AP,$AC23,FALSE)</f>
        <v>1.403</v>
      </c>
      <c r="W23" s="34">
        <f>HLOOKUP(W$2,Models_Results!$B:$AP,$AC23,FALSE)</f>
        <v>-0.32700000000000001</v>
      </c>
      <c r="X23" s="34">
        <f>HLOOKUP(X$2,Models_Results!$B:$AP,$AC23,FALSE)</f>
        <v>1.3420000000000001</v>
      </c>
      <c r="Y23" s="34">
        <f>HLOOKUP(Y$2,Models_Results!$B:$AP,$AC23,FALSE)</f>
        <v>-0.185</v>
      </c>
      <c r="AC23">
        <v>20</v>
      </c>
    </row>
    <row r="24" spans="1:29" x14ac:dyDescent="0.2">
      <c r="A24">
        <f t="shared" si="0"/>
        <v>2029.75</v>
      </c>
      <c r="C24">
        <f>HLOOKUP(C$2,Models_Results!$B:$AP,$AC24,FALSE)</f>
        <v>0.57999999999999996</v>
      </c>
      <c r="D24">
        <f>HLOOKUP(D$2,Models_Results!$B:$AP,$AC24,FALSE)</f>
        <v>-0.23200000000000001</v>
      </c>
      <c r="E24">
        <f>HLOOKUP(E$2,Models_Results!$B:$AP,$AC24,FALSE)</f>
        <v>0.40500000000000003</v>
      </c>
      <c r="F24">
        <f>HLOOKUP(F$2,Models_Results!$B:$AP,$AC24,FALSE)</f>
        <v>0.55600000000000005</v>
      </c>
      <c r="G24">
        <f>HLOOKUP(G$2,Models_Results!$B:$AP,$AC24,FALSE)</f>
        <v>-0.318</v>
      </c>
      <c r="H24">
        <f>HLOOKUP(H$2,Models_Results!$B:$AP,$AC24,FALSE)</f>
        <v>0.30099999999999999</v>
      </c>
      <c r="I24">
        <f>HLOOKUP(I$2,Models_Results!$B:$AP,$AC24,FALSE)</f>
        <v>0.14399999999999999</v>
      </c>
      <c r="J24">
        <f>HLOOKUP(J$2,Models_Results!$B:$AP,$AC24,FALSE)</f>
        <v>-0.78300000000000003</v>
      </c>
      <c r="K24">
        <f>HLOOKUP(K$2,Models_Results!$B:$AP,$AC24,FALSE)</f>
        <v>1.1639999999999999</v>
      </c>
      <c r="N24" s="34">
        <f>HLOOKUP(N$2,Models_Results!$B:$AP,$AC24,FALSE)</f>
        <v>1.4359999999999999</v>
      </c>
      <c r="O24" s="34">
        <f>HLOOKUP(O$2,Models_Results!$B:$AP,$AC24,FALSE)</f>
        <v>-0.114</v>
      </c>
      <c r="P24" s="34">
        <f>HLOOKUP(P$2,Models_Results!$B:$AP,$AC24,FALSE)</f>
        <v>1.4990000000000001</v>
      </c>
      <c r="Q24" s="34">
        <f>HLOOKUP(Q$2,Models_Results!$B:$AP,$AC24,FALSE)</f>
        <v>-0.26500000000000001</v>
      </c>
      <c r="R24" s="34">
        <f>HLOOKUP(R$2,Models_Results!$B:$AP,$AC24,FALSE)</f>
        <v>1.4359999999999999</v>
      </c>
      <c r="S24" s="34">
        <f>HLOOKUP(S$2,Models_Results!$B:$AP,$AC24,FALSE)</f>
        <v>-0.14899999999999999</v>
      </c>
      <c r="T24" s="34">
        <f>HLOOKUP(T$2,Models_Results!$B:$AP,$AC24,FALSE)</f>
        <v>1.4359999999999999</v>
      </c>
      <c r="U24" s="34">
        <f>HLOOKUP(U$2,Models_Results!$B:$AP,$AC24,FALSE)</f>
        <v>-0.114</v>
      </c>
      <c r="V24" s="34">
        <f>HLOOKUP(V$2,Models_Results!$B:$AP,$AC24,FALSE)</f>
        <v>1.5329999999999999</v>
      </c>
      <c r="W24" s="34">
        <f>HLOOKUP(W$2,Models_Results!$B:$AP,$AC24,FALSE)</f>
        <v>-0.318</v>
      </c>
      <c r="X24" s="34">
        <f>HLOOKUP(X$2,Models_Results!$B:$AP,$AC24,FALSE)</f>
        <v>1.44</v>
      </c>
      <c r="Y24" s="34">
        <f>HLOOKUP(Y$2,Models_Results!$B:$AP,$AC24,FALSE)</f>
        <v>-0.16300000000000001</v>
      </c>
      <c r="AC24">
        <v>21</v>
      </c>
    </row>
    <row r="25" spans="1:29" x14ac:dyDescent="0.2">
      <c r="A25">
        <f t="shared" si="0"/>
        <v>2030</v>
      </c>
      <c r="C25">
        <f>HLOOKUP(C$2,Models_Results!$B:$AP,$AC25,FALSE)</f>
        <v>0.61899999999999999</v>
      </c>
      <c r="D25">
        <f>HLOOKUP(D$2,Models_Results!$B:$AP,$AC25,FALSE)</f>
        <v>-0.214</v>
      </c>
      <c r="E25">
        <f>HLOOKUP(E$2,Models_Results!$B:$AP,$AC25,FALSE)</f>
        <v>0.47299999999999998</v>
      </c>
      <c r="F25">
        <f>HLOOKUP(F$2,Models_Results!$B:$AP,$AC25,FALSE)</f>
        <v>0.59899999999999998</v>
      </c>
      <c r="G25">
        <f>HLOOKUP(G$2,Models_Results!$B:$AP,$AC25,FALSE)</f>
        <v>-0.30299999999999999</v>
      </c>
      <c r="H25">
        <f>HLOOKUP(H$2,Models_Results!$B:$AP,$AC25,FALSE)</f>
        <v>0.371</v>
      </c>
      <c r="I25">
        <f>HLOOKUP(I$2,Models_Results!$B:$AP,$AC25,FALSE)</f>
        <v>0.19500000000000001</v>
      </c>
      <c r="J25">
        <f>HLOOKUP(J$2,Models_Results!$B:$AP,$AC25,FALSE)</f>
        <v>-0.73599999999999999</v>
      </c>
      <c r="K25">
        <f>HLOOKUP(K$2,Models_Results!$B:$AP,$AC25,FALSE)</f>
        <v>1.2270000000000001</v>
      </c>
      <c r="N25" s="34">
        <f>HLOOKUP(N$2,Models_Results!$B:$AP,$AC25,FALSE)</f>
        <v>1.514</v>
      </c>
      <c r="O25" s="34">
        <f>HLOOKUP(O$2,Models_Results!$B:$AP,$AC25,FALSE)</f>
        <v>-7.1999999999999995E-2</v>
      </c>
      <c r="P25" s="34">
        <f>HLOOKUP(P$2,Models_Results!$B:$AP,$AC25,FALSE)</f>
        <v>1.6160000000000001</v>
      </c>
      <c r="Q25" s="34">
        <f>HLOOKUP(Q$2,Models_Results!$B:$AP,$AC25,FALSE)</f>
        <v>-0.24199999999999999</v>
      </c>
      <c r="R25" s="34">
        <f>HLOOKUP(R$2,Models_Results!$B:$AP,$AC25,FALSE)</f>
        <v>1.528</v>
      </c>
      <c r="S25" s="34">
        <f>HLOOKUP(S$2,Models_Results!$B:$AP,$AC25,FALSE)</f>
        <v>-0.11700000000000001</v>
      </c>
      <c r="T25" s="34">
        <f>HLOOKUP(T$2,Models_Results!$B:$AP,$AC25,FALSE)</f>
        <v>1.514</v>
      </c>
      <c r="U25" s="34">
        <f>HLOOKUP(U$2,Models_Results!$B:$AP,$AC25,FALSE)</f>
        <v>-7.1999999999999995E-2</v>
      </c>
      <c r="V25" s="34">
        <f>HLOOKUP(V$2,Models_Results!$B:$AP,$AC25,FALSE)</f>
        <v>1.6619999999999999</v>
      </c>
      <c r="W25" s="34">
        <f>HLOOKUP(W$2,Models_Results!$B:$AP,$AC25,FALSE)</f>
        <v>-0.3</v>
      </c>
      <c r="X25" s="34">
        <f>HLOOKUP(X$2,Models_Results!$B:$AP,$AC25,FALSE)</f>
        <v>1.536</v>
      </c>
      <c r="Y25" s="34">
        <f>HLOOKUP(Y$2,Models_Results!$B:$AP,$AC25,FALSE)</f>
        <v>-0.13500000000000001</v>
      </c>
      <c r="AC25">
        <v>22</v>
      </c>
    </row>
    <row r="26" spans="1:29" x14ac:dyDescent="0.2">
      <c r="A26">
        <f t="shared" si="0"/>
        <v>2030.25</v>
      </c>
      <c r="C26">
        <f>HLOOKUP(C$2,Models_Results!$B:$AP,$AC26,FALSE)</f>
        <v>0.65600000000000003</v>
      </c>
      <c r="D26">
        <f>HLOOKUP(D$2,Models_Results!$B:$AP,$AC26,FALSE)</f>
        <v>-0.19400000000000001</v>
      </c>
      <c r="E26">
        <f>HLOOKUP(E$2,Models_Results!$B:$AP,$AC26,FALSE)</f>
        <v>0.53900000000000003</v>
      </c>
      <c r="F26">
        <f>HLOOKUP(F$2,Models_Results!$B:$AP,$AC26,FALSE)</f>
        <v>0.64100000000000001</v>
      </c>
      <c r="G26">
        <f>HLOOKUP(G$2,Models_Results!$B:$AP,$AC26,FALSE)</f>
        <v>-0.28599999999999998</v>
      </c>
      <c r="H26">
        <f>HLOOKUP(H$2,Models_Results!$B:$AP,$AC26,FALSE)</f>
        <v>0.442</v>
      </c>
      <c r="I26">
        <f>HLOOKUP(I$2,Models_Results!$B:$AP,$AC26,FALSE)</f>
        <v>0.247</v>
      </c>
      <c r="J26">
        <f>HLOOKUP(J$2,Models_Results!$B:$AP,$AC26,FALSE)</f>
        <v>-0.68500000000000005</v>
      </c>
      <c r="K26">
        <f>HLOOKUP(K$2,Models_Results!$B:$AP,$AC26,FALSE)</f>
        <v>1.2889999999999999</v>
      </c>
      <c r="N26" s="34">
        <f>HLOOKUP(N$2,Models_Results!$B:$AP,$AC26,FALSE)</f>
        <v>1.589</v>
      </c>
      <c r="O26" s="34">
        <f>HLOOKUP(O$2,Models_Results!$B:$AP,$AC26,FALSE)</f>
        <v>-2.5999999999999999E-2</v>
      </c>
      <c r="P26" s="34">
        <f>HLOOKUP(P$2,Models_Results!$B:$AP,$AC26,FALSE)</f>
        <v>1.7330000000000001</v>
      </c>
      <c r="Q26" s="34">
        <f>HLOOKUP(Q$2,Models_Results!$B:$AP,$AC26,FALSE)</f>
        <v>-0.21199999999999999</v>
      </c>
      <c r="R26" s="34">
        <f>HLOOKUP(R$2,Models_Results!$B:$AP,$AC26,FALSE)</f>
        <v>1.6180000000000001</v>
      </c>
      <c r="S26" s="34">
        <f>HLOOKUP(S$2,Models_Results!$B:$AP,$AC26,FALSE)</f>
        <v>-0.08</v>
      </c>
      <c r="T26" s="34">
        <f>HLOOKUP(T$2,Models_Results!$B:$AP,$AC26,FALSE)</f>
        <v>1.589</v>
      </c>
      <c r="U26" s="34">
        <f>HLOOKUP(U$2,Models_Results!$B:$AP,$AC26,FALSE)</f>
        <v>-2.5999999999999999E-2</v>
      </c>
      <c r="V26" s="34">
        <f>HLOOKUP(V$2,Models_Results!$B:$AP,$AC26,FALSE)</f>
        <v>1.7929999999999999</v>
      </c>
      <c r="W26" s="34">
        <f>HLOOKUP(W$2,Models_Results!$B:$AP,$AC26,FALSE)</f>
        <v>-0.27300000000000002</v>
      </c>
      <c r="X26" s="34">
        <f>HLOOKUP(X$2,Models_Results!$B:$AP,$AC26,FALSE)</f>
        <v>1.631</v>
      </c>
      <c r="Y26" s="34">
        <f>HLOOKUP(Y$2,Models_Results!$B:$AP,$AC26,FALSE)</f>
        <v>-0.1</v>
      </c>
      <c r="AC26">
        <v>23</v>
      </c>
    </row>
    <row r="27" spans="1:29" x14ac:dyDescent="0.2">
      <c r="A27">
        <f t="shared" si="0"/>
        <v>2030.5</v>
      </c>
      <c r="C27">
        <f>HLOOKUP(C$2,Models_Results!$B:$AP,$AC27,FALSE)</f>
        <v>0.69299999999999995</v>
      </c>
      <c r="D27">
        <f>HLOOKUP(D$2,Models_Results!$B:$AP,$AC27,FALSE)</f>
        <v>-0.17199999999999999</v>
      </c>
      <c r="E27">
        <f>HLOOKUP(E$2,Models_Results!$B:$AP,$AC27,FALSE)</f>
        <v>0.60499999999999998</v>
      </c>
      <c r="F27">
        <f>HLOOKUP(F$2,Models_Results!$B:$AP,$AC27,FALSE)</f>
        <v>0.68200000000000005</v>
      </c>
      <c r="G27">
        <f>HLOOKUP(G$2,Models_Results!$B:$AP,$AC27,FALSE)</f>
        <v>-0.26600000000000001</v>
      </c>
      <c r="H27">
        <f>HLOOKUP(H$2,Models_Results!$B:$AP,$AC27,FALSE)</f>
        <v>0.51200000000000001</v>
      </c>
      <c r="I27">
        <f>HLOOKUP(I$2,Models_Results!$B:$AP,$AC27,FALSE)</f>
        <v>0.29899999999999999</v>
      </c>
      <c r="J27">
        <f>HLOOKUP(J$2,Models_Results!$B:$AP,$AC27,FALSE)</f>
        <v>-0.63100000000000001</v>
      </c>
      <c r="K27">
        <f>HLOOKUP(K$2,Models_Results!$B:$AP,$AC27,FALSE)</f>
        <v>1.3480000000000001</v>
      </c>
      <c r="N27" s="34">
        <f>HLOOKUP(N$2,Models_Results!$B:$AP,$AC27,FALSE)</f>
        <v>1.6619999999999999</v>
      </c>
      <c r="O27" s="34">
        <f>HLOOKUP(O$2,Models_Results!$B:$AP,$AC27,FALSE)</f>
        <v>2.5000000000000001E-2</v>
      </c>
      <c r="P27" s="34">
        <f>HLOOKUP(P$2,Models_Results!$B:$AP,$AC27,FALSE)</f>
        <v>1.85</v>
      </c>
      <c r="Q27" s="34">
        <f>HLOOKUP(Q$2,Models_Results!$B:$AP,$AC27,FALSE)</f>
        <v>-0.17499999999999999</v>
      </c>
      <c r="R27" s="34">
        <f>HLOOKUP(R$2,Models_Results!$B:$AP,$AC27,FALSE)</f>
        <v>1.706</v>
      </c>
      <c r="S27" s="34">
        <f>HLOOKUP(S$2,Models_Results!$B:$AP,$AC27,FALSE)</f>
        <v>-3.5999999999999997E-2</v>
      </c>
      <c r="T27" s="34">
        <f>HLOOKUP(T$2,Models_Results!$B:$AP,$AC27,FALSE)</f>
        <v>1.6619999999999999</v>
      </c>
      <c r="U27" s="34">
        <f>HLOOKUP(U$2,Models_Results!$B:$AP,$AC27,FALSE)</f>
        <v>2.5000000000000001E-2</v>
      </c>
      <c r="V27" s="34">
        <f>HLOOKUP(V$2,Models_Results!$B:$AP,$AC27,FALSE)</f>
        <v>1.923</v>
      </c>
      <c r="W27" s="34">
        <f>HLOOKUP(W$2,Models_Results!$B:$AP,$AC27,FALSE)</f>
        <v>-0.23899999999999999</v>
      </c>
      <c r="X27" s="34">
        <f>HLOOKUP(X$2,Models_Results!$B:$AP,$AC27,FALSE)</f>
        <v>1.724</v>
      </c>
      <c r="Y27" s="34">
        <f>HLOOKUP(Y$2,Models_Results!$B:$AP,$AC27,FALSE)</f>
        <v>-5.8999999999999997E-2</v>
      </c>
      <c r="AC27">
        <v>24</v>
      </c>
    </row>
    <row r="28" spans="1:29" x14ac:dyDescent="0.2">
      <c r="A28">
        <f t="shared" si="0"/>
        <v>2030.75</v>
      </c>
      <c r="C28">
        <f>HLOOKUP(C$2,Models_Results!$B:$AP,$AC28,FALSE)</f>
        <v>0.72899999999999998</v>
      </c>
      <c r="D28">
        <f>HLOOKUP(D$2,Models_Results!$B:$AP,$AC28,FALSE)</f>
        <v>-0.14799999999999999</v>
      </c>
      <c r="E28">
        <f>HLOOKUP(E$2,Models_Results!$B:$AP,$AC28,FALSE)</f>
        <v>0.67</v>
      </c>
      <c r="F28">
        <f>HLOOKUP(F$2,Models_Results!$B:$AP,$AC28,FALSE)</f>
        <v>0.72299999999999998</v>
      </c>
      <c r="G28">
        <f>HLOOKUP(G$2,Models_Results!$B:$AP,$AC28,FALSE)</f>
        <v>-0.24399999999999999</v>
      </c>
      <c r="H28">
        <f>HLOOKUP(H$2,Models_Results!$B:$AP,$AC28,FALSE)</f>
        <v>0.58199999999999996</v>
      </c>
      <c r="I28">
        <f>HLOOKUP(I$2,Models_Results!$B:$AP,$AC28,FALSE)</f>
        <v>0.35099999999999998</v>
      </c>
      <c r="J28">
        <f>HLOOKUP(J$2,Models_Results!$B:$AP,$AC28,FALSE)</f>
        <v>-0.57399999999999995</v>
      </c>
      <c r="K28">
        <f>HLOOKUP(K$2,Models_Results!$B:$AP,$AC28,FALSE)</f>
        <v>1.4039999999999999</v>
      </c>
      <c r="N28" s="34">
        <f>HLOOKUP(N$2,Models_Results!$B:$AP,$AC28,FALSE)</f>
        <v>1.7330000000000001</v>
      </c>
      <c r="O28" s="34">
        <f>HLOOKUP(O$2,Models_Results!$B:$AP,$AC28,FALSE)</f>
        <v>0.08</v>
      </c>
      <c r="P28" s="34">
        <f>HLOOKUP(P$2,Models_Results!$B:$AP,$AC28,FALSE)</f>
        <v>1.966</v>
      </c>
      <c r="Q28" s="34">
        <f>HLOOKUP(Q$2,Models_Results!$B:$AP,$AC28,FALSE)</f>
        <v>-0.13</v>
      </c>
      <c r="R28" s="34">
        <f>HLOOKUP(R$2,Models_Results!$B:$AP,$AC28,FALSE)</f>
        <v>1.7929999999999999</v>
      </c>
      <c r="S28" s="34">
        <f>HLOOKUP(S$2,Models_Results!$B:$AP,$AC28,FALSE)</f>
        <v>1.2E-2</v>
      </c>
      <c r="T28" s="34">
        <f>HLOOKUP(T$2,Models_Results!$B:$AP,$AC28,FALSE)</f>
        <v>1.7330000000000001</v>
      </c>
      <c r="U28" s="34">
        <f>HLOOKUP(U$2,Models_Results!$B:$AP,$AC28,FALSE)</f>
        <v>0.08</v>
      </c>
      <c r="V28" s="34">
        <f>HLOOKUP(V$2,Models_Results!$B:$AP,$AC28,FALSE)</f>
        <v>2.0539999999999998</v>
      </c>
      <c r="W28" s="34">
        <f>HLOOKUP(W$2,Models_Results!$B:$AP,$AC28,FALSE)</f>
        <v>-0.19700000000000001</v>
      </c>
      <c r="X28" s="34">
        <f>HLOOKUP(X$2,Models_Results!$B:$AP,$AC28,FALSE)</f>
        <v>1.8169999999999999</v>
      </c>
      <c r="Y28" s="34">
        <f>HLOOKUP(Y$2,Models_Results!$B:$AP,$AC28,FALSE)</f>
        <v>-1.2E-2</v>
      </c>
      <c r="AC28">
        <v>25</v>
      </c>
    </row>
    <row r="29" spans="1:29" x14ac:dyDescent="0.2">
      <c r="A29">
        <f t="shared" si="0"/>
        <v>2031</v>
      </c>
      <c r="C29">
        <f>HLOOKUP(C$2,Models_Results!$B:$AP,$AC29,FALSE)</f>
        <v>0.76400000000000001</v>
      </c>
      <c r="D29">
        <f>HLOOKUP(D$2,Models_Results!$B:$AP,$AC29,FALSE)</f>
        <v>-0.123</v>
      </c>
      <c r="E29">
        <f>HLOOKUP(E$2,Models_Results!$B:$AP,$AC29,FALSE)</f>
        <v>0.73399999999999999</v>
      </c>
      <c r="F29">
        <f>HLOOKUP(F$2,Models_Results!$B:$AP,$AC29,FALSE)</f>
        <v>0.76400000000000001</v>
      </c>
      <c r="G29">
        <f>HLOOKUP(G$2,Models_Results!$B:$AP,$AC29,FALSE)</f>
        <v>-0.22</v>
      </c>
      <c r="H29">
        <f>HLOOKUP(H$2,Models_Results!$B:$AP,$AC29,FALSE)</f>
        <v>0.65100000000000002</v>
      </c>
      <c r="I29">
        <f>HLOOKUP(I$2,Models_Results!$B:$AP,$AC29,FALSE)</f>
        <v>0.40300000000000002</v>
      </c>
      <c r="J29">
        <f>HLOOKUP(J$2,Models_Results!$B:$AP,$AC29,FALSE)</f>
        <v>-0.51400000000000001</v>
      </c>
      <c r="K29">
        <f>HLOOKUP(K$2,Models_Results!$B:$AP,$AC29,FALSE)</f>
        <v>1.4570000000000001</v>
      </c>
      <c r="N29" s="34">
        <f>HLOOKUP(N$2,Models_Results!$B:$AP,$AC29,FALSE)</f>
        <v>1.802</v>
      </c>
      <c r="O29" s="34">
        <f>HLOOKUP(O$2,Models_Results!$B:$AP,$AC29,FALSE)</f>
        <v>0.14000000000000001</v>
      </c>
      <c r="P29" s="34">
        <f>HLOOKUP(P$2,Models_Results!$B:$AP,$AC29,FALSE)</f>
        <v>2.0819999999999999</v>
      </c>
      <c r="Q29" s="34">
        <f>HLOOKUP(Q$2,Models_Results!$B:$AP,$AC29,FALSE)</f>
        <v>-7.9000000000000001E-2</v>
      </c>
      <c r="R29" s="34">
        <f>HLOOKUP(R$2,Models_Results!$B:$AP,$AC29,FALSE)</f>
        <v>1.8779999999999999</v>
      </c>
      <c r="S29" s="34">
        <f>HLOOKUP(S$2,Models_Results!$B:$AP,$AC29,FALSE)</f>
        <v>6.5000000000000002E-2</v>
      </c>
      <c r="T29" s="34">
        <f>HLOOKUP(T$2,Models_Results!$B:$AP,$AC29,FALSE)</f>
        <v>1.802</v>
      </c>
      <c r="U29" s="34">
        <f>HLOOKUP(U$2,Models_Results!$B:$AP,$AC29,FALSE)</f>
        <v>0.14000000000000001</v>
      </c>
      <c r="V29" s="34">
        <f>HLOOKUP(V$2,Models_Results!$B:$AP,$AC29,FALSE)</f>
        <v>2.1850000000000001</v>
      </c>
      <c r="W29" s="34">
        <f>HLOOKUP(W$2,Models_Results!$B:$AP,$AC29,FALSE)</f>
        <v>-0.14699999999999999</v>
      </c>
      <c r="X29" s="34">
        <f>HLOOKUP(X$2,Models_Results!$B:$AP,$AC29,FALSE)</f>
        <v>1.9079999999999999</v>
      </c>
      <c r="Y29" s="34">
        <f>HLOOKUP(Y$2,Models_Results!$B:$AP,$AC29,FALSE)</f>
        <v>0.04</v>
      </c>
      <c r="AC29">
        <v>26</v>
      </c>
    </row>
    <row r="30" spans="1:29" x14ac:dyDescent="0.2">
      <c r="A30">
        <f t="shared" si="0"/>
        <v>2031.25</v>
      </c>
      <c r="C30">
        <f>HLOOKUP(C$2,Models_Results!$B:$AP,$AC30,FALSE)</f>
        <v>0.79800000000000004</v>
      </c>
      <c r="D30">
        <f>HLOOKUP(D$2,Models_Results!$B:$AP,$AC30,FALSE)</f>
        <v>-9.6000000000000002E-2</v>
      </c>
      <c r="E30">
        <f>HLOOKUP(E$2,Models_Results!$B:$AP,$AC30,FALSE)</f>
        <v>0.79600000000000004</v>
      </c>
      <c r="F30">
        <f>HLOOKUP(F$2,Models_Results!$B:$AP,$AC30,FALSE)</f>
        <v>0.80400000000000005</v>
      </c>
      <c r="G30">
        <f>HLOOKUP(G$2,Models_Results!$B:$AP,$AC30,FALSE)</f>
        <v>-0.19400000000000001</v>
      </c>
      <c r="H30">
        <f>HLOOKUP(H$2,Models_Results!$B:$AP,$AC30,FALSE)</f>
        <v>0.72099999999999997</v>
      </c>
      <c r="I30">
        <f>HLOOKUP(I$2,Models_Results!$B:$AP,$AC30,FALSE)</f>
        <v>0.45600000000000002</v>
      </c>
      <c r="J30">
        <f>HLOOKUP(J$2,Models_Results!$B:$AP,$AC30,FALSE)</f>
        <v>-0.45</v>
      </c>
      <c r="K30">
        <f>HLOOKUP(K$2,Models_Results!$B:$AP,$AC30,FALSE)</f>
        <v>1.508</v>
      </c>
      <c r="N30" s="34">
        <f>HLOOKUP(N$2,Models_Results!$B:$AP,$AC30,FALSE)</f>
        <v>1.869</v>
      </c>
      <c r="O30" s="34">
        <f>HLOOKUP(O$2,Models_Results!$B:$AP,$AC30,FALSE)</f>
        <v>0.20200000000000001</v>
      </c>
      <c r="P30" s="34">
        <f>HLOOKUP(P$2,Models_Results!$B:$AP,$AC30,FALSE)</f>
        <v>2.1970000000000001</v>
      </c>
      <c r="Q30" s="34">
        <f>HLOOKUP(Q$2,Models_Results!$B:$AP,$AC30,FALSE)</f>
        <v>-2.1999999999999999E-2</v>
      </c>
      <c r="R30" s="34">
        <f>HLOOKUP(R$2,Models_Results!$B:$AP,$AC30,FALSE)</f>
        <v>1.962</v>
      </c>
      <c r="S30" s="34">
        <f>HLOOKUP(S$2,Models_Results!$B:$AP,$AC30,FALSE)</f>
        <v>0.123</v>
      </c>
      <c r="T30" s="34">
        <f>HLOOKUP(T$2,Models_Results!$B:$AP,$AC30,FALSE)</f>
        <v>1.869</v>
      </c>
      <c r="U30" s="34">
        <f>HLOOKUP(U$2,Models_Results!$B:$AP,$AC30,FALSE)</f>
        <v>0.20200000000000001</v>
      </c>
      <c r="V30" s="34">
        <f>HLOOKUP(V$2,Models_Results!$B:$AP,$AC30,FALSE)</f>
        <v>2.3159999999999998</v>
      </c>
      <c r="W30" s="34">
        <f>HLOOKUP(W$2,Models_Results!$B:$AP,$AC30,FALSE)</f>
        <v>-0.09</v>
      </c>
      <c r="X30" s="34">
        <f>HLOOKUP(X$2,Models_Results!$B:$AP,$AC30,FALSE)</f>
        <v>1.9970000000000001</v>
      </c>
      <c r="Y30" s="34">
        <f>HLOOKUP(Y$2,Models_Results!$B:$AP,$AC30,FALSE)</f>
        <v>9.7000000000000003E-2</v>
      </c>
      <c r="AC30">
        <v>27</v>
      </c>
    </row>
    <row r="31" spans="1:29" x14ac:dyDescent="0.2">
      <c r="A31">
        <f t="shared" si="0"/>
        <v>2031.5</v>
      </c>
      <c r="C31">
        <f>HLOOKUP(C$2,Models_Results!$B:$AP,$AC31,FALSE)</f>
        <v>0.83199999999999996</v>
      </c>
      <c r="D31">
        <f>HLOOKUP(D$2,Models_Results!$B:$AP,$AC31,FALSE)</f>
        <v>-6.7000000000000004E-2</v>
      </c>
      <c r="E31">
        <f>HLOOKUP(E$2,Models_Results!$B:$AP,$AC31,FALSE)</f>
        <v>0.85799999999999998</v>
      </c>
      <c r="F31">
        <f>HLOOKUP(F$2,Models_Results!$B:$AP,$AC31,FALSE)</f>
        <v>0.84299999999999997</v>
      </c>
      <c r="G31">
        <f>HLOOKUP(G$2,Models_Results!$B:$AP,$AC31,FALSE)</f>
        <v>-0.16600000000000001</v>
      </c>
      <c r="H31">
        <f>HLOOKUP(H$2,Models_Results!$B:$AP,$AC31,FALSE)</f>
        <v>0.78900000000000003</v>
      </c>
      <c r="I31">
        <f>HLOOKUP(I$2,Models_Results!$B:$AP,$AC31,FALSE)</f>
        <v>0.50800000000000001</v>
      </c>
      <c r="J31">
        <f>HLOOKUP(J$2,Models_Results!$B:$AP,$AC31,FALSE)</f>
        <v>-0.38300000000000001</v>
      </c>
      <c r="K31">
        <f>HLOOKUP(K$2,Models_Results!$B:$AP,$AC31,FALSE)</f>
        <v>1.5549999999999999</v>
      </c>
      <c r="N31" s="34">
        <f>HLOOKUP(N$2,Models_Results!$B:$AP,$AC31,FALSE)</f>
        <v>1.9330000000000001</v>
      </c>
      <c r="O31" s="34">
        <f>HLOOKUP(O$2,Models_Results!$B:$AP,$AC31,FALSE)</f>
        <v>0.26800000000000002</v>
      </c>
      <c r="P31" s="34">
        <f>HLOOKUP(P$2,Models_Results!$B:$AP,$AC31,FALSE)</f>
        <v>2.3130000000000002</v>
      </c>
      <c r="Q31" s="34">
        <f>HLOOKUP(Q$2,Models_Results!$B:$AP,$AC31,FALSE)</f>
        <v>4.1000000000000002E-2</v>
      </c>
      <c r="R31" s="34">
        <f>HLOOKUP(R$2,Models_Results!$B:$AP,$AC31,FALSE)</f>
        <v>2.0449999999999999</v>
      </c>
      <c r="S31" s="34">
        <f>HLOOKUP(S$2,Models_Results!$B:$AP,$AC31,FALSE)</f>
        <v>0.186</v>
      </c>
      <c r="T31" s="34">
        <f>HLOOKUP(T$2,Models_Results!$B:$AP,$AC31,FALSE)</f>
        <v>1.9330000000000001</v>
      </c>
      <c r="U31" s="34">
        <f>HLOOKUP(U$2,Models_Results!$B:$AP,$AC31,FALSE)</f>
        <v>0.26800000000000002</v>
      </c>
      <c r="V31" s="34">
        <f>HLOOKUP(V$2,Models_Results!$B:$AP,$AC31,FALSE)</f>
        <v>2.4470000000000001</v>
      </c>
      <c r="W31" s="34">
        <f>HLOOKUP(W$2,Models_Results!$B:$AP,$AC31,FALSE)</f>
        <v>-2.5999999999999999E-2</v>
      </c>
      <c r="X31" s="34">
        <f>HLOOKUP(X$2,Models_Results!$B:$AP,$AC31,FALSE)</f>
        <v>2.0859999999999999</v>
      </c>
      <c r="Y31" s="34">
        <f>HLOOKUP(Y$2,Models_Results!$B:$AP,$AC31,FALSE)</f>
        <v>0.158</v>
      </c>
      <c r="AC31">
        <v>28</v>
      </c>
    </row>
    <row r="32" spans="1:29" x14ac:dyDescent="0.2">
      <c r="A32">
        <f t="shared" si="0"/>
        <v>2031.75</v>
      </c>
      <c r="C32">
        <f>HLOOKUP(C$2,Models_Results!$B:$AP,$AC32,FALSE)</f>
        <v>0.86499999999999999</v>
      </c>
      <c r="D32">
        <f>HLOOKUP(D$2,Models_Results!$B:$AP,$AC32,FALSE)</f>
        <v>-3.5999999999999997E-2</v>
      </c>
      <c r="E32">
        <f>HLOOKUP(E$2,Models_Results!$B:$AP,$AC32,FALSE)</f>
        <v>0.91800000000000004</v>
      </c>
      <c r="F32">
        <f>HLOOKUP(F$2,Models_Results!$B:$AP,$AC32,FALSE)</f>
        <v>0.88200000000000001</v>
      </c>
      <c r="G32">
        <f>HLOOKUP(G$2,Models_Results!$B:$AP,$AC32,FALSE)</f>
        <v>-0.13600000000000001</v>
      </c>
      <c r="H32">
        <f>HLOOKUP(H$2,Models_Results!$B:$AP,$AC32,FALSE)</f>
        <v>0.85799999999999998</v>
      </c>
      <c r="I32">
        <f>HLOOKUP(I$2,Models_Results!$B:$AP,$AC32,FALSE)</f>
        <v>0.56100000000000005</v>
      </c>
      <c r="J32">
        <f>HLOOKUP(J$2,Models_Results!$B:$AP,$AC32,FALSE)</f>
        <v>-0.313</v>
      </c>
      <c r="K32">
        <f>HLOOKUP(K$2,Models_Results!$B:$AP,$AC32,FALSE)</f>
        <v>1.599</v>
      </c>
      <c r="N32" s="34">
        <f>HLOOKUP(N$2,Models_Results!$B:$AP,$AC32,FALSE)</f>
        <v>1.996</v>
      </c>
      <c r="O32" s="34">
        <f>HLOOKUP(O$2,Models_Results!$B:$AP,$AC32,FALSE)</f>
        <v>0.33700000000000002</v>
      </c>
      <c r="P32" s="34">
        <f>HLOOKUP(P$2,Models_Results!$B:$AP,$AC32,FALSE)</f>
        <v>2.4279999999999999</v>
      </c>
      <c r="Q32" s="34">
        <f>HLOOKUP(Q$2,Models_Results!$B:$AP,$AC32,FALSE)</f>
        <v>0.111</v>
      </c>
      <c r="R32" s="34">
        <f>HLOOKUP(R$2,Models_Results!$B:$AP,$AC32,FALSE)</f>
        <v>2.1259999999999999</v>
      </c>
      <c r="S32" s="34">
        <f>HLOOKUP(S$2,Models_Results!$B:$AP,$AC32,FALSE)</f>
        <v>0.252</v>
      </c>
      <c r="T32" s="34">
        <f>HLOOKUP(T$2,Models_Results!$B:$AP,$AC32,FALSE)</f>
        <v>1.996</v>
      </c>
      <c r="U32" s="34">
        <f>HLOOKUP(U$2,Models_Results!$B:$AP,$AC32,FALSE)</f>
        <v>0.33700000000000002</v>
      </c>
      <c r="V32" s="34">
        <f>HLOOKUP(V$2,Models_Results!$B:$AP,$AC32,FALSE)</f>
        <v>2.5790000000000002</v>
      </c>
      <c r="W32" s="34">
        <f>HLOOKUP(W$2,Models_Results!$B:$AP,$AC32,FALSE)</f>
        <v>4.3999999999999997E-2</v>
      </c>
      <c r="X32" s="34">
        <f>HLOOKUP(X$2,Models_Results!$B:$AP,$AC32,FALSE)</f>
        <v>2.1739999999999999</v>
      </c>
      <c r="Y32" s="34">
        <f>HLOOKUP(Y$2,Models_Results!$B:$AP,$AC32,FALSE)</f>
        <v>0.224</v>
      </c>
      <c r="AC32">
        <v>29</v>
      </c>
    </row>
    <row r="33" spans="1:29" x14ac:dyDescent="0.2">
      <c r="A33">
        <f t="shared" si="0"/>
        <v>2032</v>
      </c>
      <c r="C33">
        <f>HLOOKUP(C$2,Models_Results!$B:$AP,$AC33,FALSE)</f>
        <v>0.89700000000000002</v>
      </c>
      <c r="D33">
        <f>HLOOKUP(D$2,Models_Results!$B:$AP,$AC33,FALSE)</f>
        <v>-5.0000000000000001E-3</v>
      </c>
      <c r="E33">
        <f>HLOOKUP(E$2,Models_Results!$B:$AP,$AC33,FALSE)</f>
        <v>0.97799999999999998</v>
      </c>
      <c r="F33">
        <f>HLOOKUP(F$2,Models_Results!$B:$AP,$AC33,FALSE)</f>
        <v>0.92100000000000004</v>
      </c>
      <c r="G33">
        <f>HLOOKUP(G$2,Models_Results!$B:$AP,$AC33,FALSE)</f>
        <v>-0.104</v>
      </c>
      <c r="H33">
        <f>HLOOKUP(H$2,Models_Results!$B:$AP,$AC33,FALSE)</f>
        <v>0.92600000000000005</v>
      </c>
      <c r="I33">
        <f>HLOOKUP(I$2,Models_Results!$B:$AP,$AC33,FALSE)</f>
        <v>0.61299999999999999</v>
      </c>
      <c r="J33">
        <f>HLOOKUP(J$2,Models_Results!$B:$AP,$AC33,FALSE)</f>
        <v>-0.23899999999999999</v>
      </c>
      <c r="K33">
        <f>HLOOKUP(K$2,Models_Results!$B:$AP,$AC33,FALSE)</f>
        <v>1.6379999999999999</v>
      </c>
      <c r="N33" s="34">
        <f>HLOOKUP(N$2,Models_Results!$B:$AP,$AC33,FALSE)</f>
        <v>2.0569999999999999</v>
      </c>
      <c r="O33" s="34">
        <f>HLOOKUP(O$2,Models_Results!$B:$AP,$AC33,FALSE)</f>
        <v>0.40899999999999997</v>
      </c>
      <c r="P33" s="34">
        <f>HLOOKUP(P$2,Models_Results!$B:$AP,$AC33,FALSE)</f>
        <v>2.544</v>
      </c>
      <c r="Q33" s="34">
        <f>HLOOKUP(Q$2,Models_Results!$B:$AP,$AC33,FALSE)</f>
        <v>0.185</v>
      </c>
      <c r="R33" s="34">
        <f>HLOOKUP(R$2,Models_Results!$B:$AP,$AC33,FALSE)</f>
        <v>2.206</v>
      </c>
      <c r="S33" s="34">
        <f>HLOOKUP(S$2,Models_Results!$B:$AP,$AC33,FALSE)</f>
        <v>0.32300000000000001</v>
      </c>
      <c r="T33" s="34">
        <f>HLOOKUP(T$2,Models_Results!$B:$AP,$AC33,FALSE)</f>
        <v>2.0569999999999999</v>
      </c>
      <c r="U33" s="34">
        <f>HLOOKUP(U$2,Models_Results!$B:$AP,$AC33,FALSE)</f>
        <v>0.40899999999999997</v>
      </c>
      <c r="V33" s="34">
        <f>HLOOKUP(V$2,Models_Results!$B:$AP,$AC33,FALSE)</f>
        <v>2.7109999999999999</v>
      </c>
      <c r="W33" s="34">
        <f>HLOOKUP(W$2,Models_Results!$B:$AP,$AC33,FALSE)</f>
        <v>0.122</v>
      </c>
      <c r="X33" s="34">
        <f>HLOOKUP(X$2,Models_Results!$B:$AP,$AC33,FALSE)</f>
        <v>2.2599999999999998</v>
      </c>
      <c r="Y33" s="34">
        <f>HLOOKUP(Y$2,Models_Results!$B:$AP,$AC33,FALSE)</f>
        <v>0.29499999999999998</v>
      </c>
      <c r="AC33">
        <v>30</v>
      </c>
    </row>
    <row r="34" spans="1:29" x14ac:dyDescent="0.2">
      <c r="A34">
        <f t="shared" si="0"/>
        <v>2032.25</v>
      </c>
      <c r="C34">
        <f>HLOOKUP(C$2,Models_Results!$B:$AP,$AC34,FALSE)</f>
        <v>0.92800000000000005</v>
      </c>
      <c r="D34">
        <f>HLOOKUP(D$2,Models_Results!$B:$AP,$AC34,FALSE)</f>
        <v>2.9000000000000001E-2</v>
      </c>
      <c r="E34">
        <f>HLOOKUP(E$2,Models_Results!$B:$AP,$AC34,FALSE)</f>
        <v>1.036</v>
      </c>
      <c r="F34">
        <f>HLOOKUP(F$2,Models_Results!$B:$AP,$AC34,FALSE)</f>
        <v>0.96</v>
      </c>
      <c r="G34">
        <f>HLOOKUP(G$2,Models_Results!$B:$AP,$AC34,FALSE)</f>
        <v>-7.0000000000000007E-2</v>
      </c>
      <c r="H34">
        <f>HLOOKUP(H$2,Models_Results!$B:$AP,$AC34,FALSE)</f>
        <v>0.99399999999999999</v>
      </c>
      <c r="I34">
        <f>HLOOKUP(I$2,Models_Results!$B:$AP,$AC34,FALSE)</f>
        <v>0.66600000000000004</v>
      </c>
      <c r="J34">
        <f>HLOOKUP(J$2,Models_Results!$B:$AP,$AC34,FALSE)</f>
        <v>-0.16300000000000001</v>
      </c>
      <c r="K34">
        <f>HLOOKUP(K$2,Models_Results!$B:$AP,$AC34,FALSE)</f>
        <v>1.675</v>
      </c>
      <c r="N34" s="34">
        <f>HLOOKUP(N$2,Models_Results!$B:$AP,$AC34,FALSE)</f>
        <v>2.1150000000000002</v>
      </c>
      <c r="O34" s="34">
        <f>HLOOKUP(O$2,Models_Results!$B:$AP,$AC34,FALSE)</f>
        <v>0.48299999999999998</v>
      </c>
      <c r="P34" s="34">
        <f>HLOOKUP(P$2,Models_Results!$B:$AP,$AC34,FALSE)</f>
        <v>2.6589999999999998</v>
      </c>
      <c r="Q34" s="34">
        <f>HLOOKUP(Q$2,Models_Results!$B:$AP,$AC34,FALSE)</f>
        <v>0.26600000000000001</v>
      </c>
      <c r="R34" s="34">
        <f>HLOOKUP(R$2,Models_Results!$B:$AP,$AC34,FALSE)</f>
        <v>2.2850000000000001</v>
      </c>
      <c r="S34" s="34">
        <f>HLOOKUP(S$2,Models_Results!$B:$AP,$AC34,FALSE)</f>
        <v>0.39700000000000002</v>
      </c>
      <c r="T34" s="34">
        <f>HLOOKUP(T$2,Models_Results!$B:$AP,$AC34,FALSE)</f>
        <v>2.1150000000000002</v>
      </c>
      <c r="U34" s="34">
        <f>HLOOKUP(U$2,Models_Results!$B:$AP,$AC34,FALSE)</f>
        <v>0.48299999999999998</v>
      </c>
      <c r="V34" s="34">
        <f>HLOOKUP(V$2,Models_Results!$B:$AP,$AC34,FALSE)</f>
        <v>2.8439999999999999</v>
      </c>
      <c r="W34" s="34">
        <f>HLOOKUP(W$2,Models_Results!$B:$AP,$AC34,FALSE)</f>
        <v>0.20499999999999999</v>
      </c>
      <c r="X34" s="34">
        <f>HLOOKUP(X$2,Models_Results!$B:$AP,$AC34,FALSE)</f>
        <v>2.3460000000000001</v>
      </c>
      <c r="Y34" s="34">
        <f>HLOOKUP(Y$2,Models_Results!$B:$AP,$AC34,FALSE)</f>
        <v>0.36899999999999999</v>
      </c>
      <c r="AC34">
        <v>31</v>
      </c>
    </row>
    <row r="35" spans="1:29" x14ac:dyDescent="0.2">
      <c r="A35">
        <f t="shared" si="0"/>
        <v>2032.5</v>
      </c>
      <c r="C35">
        <f>HLOOKUP(C$2,Models_Results!$B:$AP,$AC35,FALSE)</f>
        <v>0.95899999999999996</v>
      </c>
      <c r="D35">
        <f>HLOOKUP(D$2,Models_Results!$B:$AP,$AC35,FALSE)</f>
        <v>6.3E-2</v>
      </c>
      <c r="E35">
        <f>HLOOKUP(E$2,Models_Results!$B:$AP,$AC35,FALSE)</f>
        <v>1.093</v>
      </c>
      <c r="F35">
        <f>HLOOKUP(F$2,Models_Results!$B:$AP,$AC35,FALSE)</f>
        <v>0.998</v>
      </c>
      <c r="G35">
        <f>HLOOKUP(G$2,Models_Results!$B:$AP,$AC35,FALSE)</f>
        <v>-3.4000000000000002E-2</v>
      </c>
      <c r="H35">
        <f>HLOOKUP(H$2,Models_Results!$B:$AP,$AC35,FALSE)</f>
        <v>1.0609999999999999</v>
      </c>
      <c r="I35">
        <f>HLOOKUP(I$2,Models_Results!$B:$AP,$AC35,FALSE)</f>
        <v>0.71899999999999997</v>
      </c>
      <c r="J35">
        <f>HLOOKUP(J$2,Models_Results!$B:$AP,$AC35,FALSE)</f>
        <v>-8.4000000000000005E-2</v>
      </c>
      <c r="K35">
        <f>HLOOKUP(K$2,Models_Results!$B:$AP,$AC35,FALSE)</f>
        <v>1.708</v>
      </c>
      <c r="N35" s="34">
        <f>HLOOKUP(N$2,Models_Results!$B:$AP,$AC35,FALSE)</f>
        <v>2.1720000000000002</v>
      </c>
      <c r="O35" s="34">
        <f>HLOOKUP(O$2,Models_Results!$B:$AP,$AC35,FALSE)</f>
        <v>0.55900000000000005</v>
      </c>
      <c r="P35" s="34">
        <f>HLOOKUP(P$2,Models_Results!$B:$AP,$AC35,FALSE)</f>
        <v>2.774</v>
      </c>
      <c r="Q35" s="34">
        <f>HLOOKUP(Q$2,Models_Results!$B:$AP,$AC35,FALSE)</f>
        <v>0.35099999999999998</v>
      </c>
      <c r="R35" s="34">
        <f>HLOOKUP(R$2,Models_Results!$B:$AP,$AC35,FALSE)</f>
        <v>2.363</v>
      </c>
      <c r="S35" s="34">
        <f>HLOOKUP(S$2,Models_Results!$B:$AP,$AC35,FALSE)</f>
        <v>0.47399999999999998</v>
      </c>
      <c r="T35" s="34">
        <f>HLOOKUP(T$2,Models_Results!$B:$AP,$AC35,FALSE)</f>
        <v>2.1720000000000002</v>
      </c>
      <c r="U35" s="34">
        <f>HLOOKUP(U$2,Models_Results!$B:$AP,$AC35,FALSE)</f>
        <v>0.55900000000000005</v>
      </c>
      <c r="V35" s="34">
        <f>HLOOKUP(V$2,Models_Results!$B:$AP,$AC35,FALSE)</f>
        <v>2.9769999999999999</v>
      </c>
      <c r="W35" s="34">
        <f>HLOOKUP(W$2,Models_Results!$B:$AP,$AC35,FALSE)</f>
        <v>0.29499999999999998</v>
      </c>
      <c r="X35" s="34">
        <f>HLOOKUP(X$2,Models_Results!$B:$AP,$AC35,FALSE)</f>
        <v>2.4300000000000002</v>
      </c>
      <c r="Y35" s="34">
        <f>HLOOKUP(Y$2,Models_Results!$B:$AP,$AC35,FALSE)</f>
        <v>0.44700000000000001</v>
      </c>
      <c r="AC35">
        <v>32</v>
      </c>
    </row>
    <row r="36" spans="1:29" x14ac:dyDescent="0.2">
      <c r="A36">
        <f t="shared" si="0"/>
        <v>2032.75</v>
      </c>
      <c r="C36">
        <f>HLOOKUP(C$2,Models_Results!$B:$AP,$AC36,FALSE)</f>
        <v>0.99</v>
      </c>
      <c r="D36">
        <f>HLOOKUP(D$2,Models_Results!$B:$AP,$AC36,FALSE)</f>
        <v>9.9000000000000005E-2</v>
      </c>
      <c r="E36">
        <f>HLOOKUP(E$2,Models_Results!$B:$AP,$AC36,FALSE)</f>
        <v>1.149</v>
      </c>
      <c r="F36">
        <f>HLOOKUP(F$2,Models_Results!$B:$AP,$AC36,FALSE)</f>
        <v>1.0349999999999999</v>
      </c>
      <c r="G36">
        <f>HLOOKUP(G$2,Models_Results!$B:$AP,$AC36,FALSE)</f>
        <v>3.0000000000000001E-3</v>
      </c>
      <c r="H36">
        <f>HLOOKUP(H$2,Models_Results!$B:$AP,$AC36,FALSE)</f>
        <v>1.127</v>
      </c>
      <c r="I36">
        <f>HLOOKUP(I$2,Models_Results!$B:$AP,$AC36,FALSE)</f>
        <v>0.77100000000000002</v>
      </c>
      <c r="J36">
        <f>HLOOKUP(J$2,Models_Results!$B:$AP,$AC36,FALSE)</f>
        <v>-1E-3</v>
      </c>
      <c r="K36">
        <f>HLOOKUP(K$2,Models_Results!$B:$AP,$AC36,FALSE)</f>
        <v>1.7370000000000001</v>
      </c>
      <c r="N36" s="34">
        <f>HLOOKUP(N$2,Models_Results!$B:$AP,$AC36,FALSE)</f>
        <v>2.2280000000000002</v>
      </c>
      <c r="O36" s="34">
        <f>HLOOKUP(O$2,Models_Results!$B:$AP,$AC36,FALSE)</f>
        <v>0.63700000000000001</v>
      </c>
      <c r="P36" s="34">
        <f>HLOOKUP(P$2,Models_Results!$B:$AP,$AC36,FALSE)</f>
        <v>2.8889999999999998</v>
      </c>
      <c r="Q36" s="34">
        <f>HLOOKUP(Q$2,Models_Results!$B:$AP,$AC36,FALSE)</f>
        <v>0.441</v>
      </c>
      <c r="R36" s="34">
        <f>HLOOKUP(R$2,Models_Results!$B:$AP,$AC36,FALSE)</f>
        <v>2.4390000000000001</v>
      </c>
      <c r="S36" s="34">
        <f>HLOOKUP(S$2,Models_Results!$B:$AP,$AC36,FALSE)</f>
        <v>0.55500000000000005</v>
      </c>
      <c r="T36" s="34">
        <f>HLOOKUP(T$2,Models_Results!$B:$AP,$AC36,FALSE)</f>
        <v>2.2280000000000002</v>
      </c>
      <c r="U36" s="34">
        <f>HLOOKUP(U$2,Models_Results!$B:$AP,$AC36,FALSE)</f>
        <v>0.63700000000000001</v>
      </c>
      <c r="V36" s="34">
        <f>HLOOKUP(V$2,Models_Results!$B:$AP,$AC36,FALSE)</f>
        <v>3.11</v>
      </c>
      <c r="W36" s="34">
        <f>HLOOKUP(W$2,Models_Results!$B:$AP,$AC36,FALSE)</f>
        <v>0.39</v>
      </c>
      <c r="X36" s="34">
        <f>HLOOKUP(X$2,Models_Results!$B:$AP,$AC36,FALSE)</f>
        <v>2.5129999999999999</v>
      </c>
      <c r="Y36" s="34">
        <f>HLOOKUP(Y$2,Models_Results!$B:$AP,$AC36,FALSE)</f>
        <v>0.52900000000000003</v>
      </c>
      <c r="AC36">
        <v>33</v>
      </c>
    </row>
    <row r="37" spans="1:29" x14ac:dyDescent="0.2">
      <c r="A37">
        <f t="shared" si="0"/>
        <v>2033</v>
      </c>
      <c r="C37">
        <f>HLOOKUP(C$2,Models_Results!$B:$AP,$AC37,FALSE)</f>
        <v>1.0189999999999999</v>
      </c>
      <c r="D37">
        <f>HLOOKUP(D$2,Models_Results!$B:$AP,$AC37,FALSE)</f>
        <v>0.13600000000000001</v>
      </c>
      <c r="E37">
        <f>HLOOKUP(E$2,Models_Results!$B:$AP,$AC37,FALSE)</f>
        <v>1.2030000000000001</v>
      </c>
      <c r="F37">
        <f>HLOOKUP(F$2,Models_Results!$B:$AP,$AC37,FALSE)</f>
        <v>1.073</v>
      </c>
      <c r="G37">
        <f>HLOOKUP(G$2,Models_Results!$B:$AP,$AC37,FALSE)</f>
        <v>4.2000000000000003E-2</v>
      </c>
      <c r="H37">
        <f>HLOOKUP(H$2,Models_Results!$B:$AP,$AC37,FALSE)</f>
        <v>1.194</v>
      </c>
      <c r="I37">
        <f>HLOOKUP(I$2,Models_Results!$B:$AP,$AC37,FALSE)</f>
        <v>0.82399999999999995</v>
      </c>
      <c r="J37">
        <f>HLOOKUP(J$2,Models_Results!$B:$AP,$AC37,FALSE)</f>
        <v>8.5000000000000006E-2</v>
      </c>
      <c r="K37">
        <f>HLOOKUP(K$2,Models_Results!$B:$AP,$AC37,FALSE)</f>
        <v>1.762</v>
      </c>
      <c r="N37" s="34">
        <f>HLOOKUP(N$2,Models_Results!$B:$AP,$AC37,FALSE)</f>
        <v>2.2810000000000001</v>
      </c>
      <c r="O37" s="34">
        <f>HLOOKUP(O$2,Models_Results!$B:$AP,$AC37,FALSE)</f>
        <v>0.71699999999999997</v>
      </c>
      <c r="P37" s="34">
        <f>HLOOKUP(P$2,Models_Results!$B:$AP,$AC37,FALSE)</f>
        <v>3.004</v>
      </c>
      <c r="Q37" s="34">
        <f>HLOOKUP(Q$2,Models_Results!$B:$AP,$AC37,FALSE)</f>
        <v>0.53600000000000003</v>
      </c>
      <c r="R37" s="34">
        <f>HLOOKUP(R$2,Models_Results!$B:$AP,$AC37,FALSE)</f>
        <v>2.5139999999999998</v>
      </c>
      <c r="S37" s="34">
        <f>HLOOKUP(S$2,Models_Results!$B:$AP,$AC37,FALSE)</f>
        <v>0.63800000000000001</v>
      </c>
      <c r="T37" s="34">
        <f>HLOOKUP(T$2,Models_Results!$B:$AP,$AC37,FALSE)</f>
        <v>2.2810000000000001</v>
      </c>
      <c r="U37" s="34">
        <f>HLOOKUP(U$2,Models_Results!$B:$AP,$AC37,FALSE)</f>
        <v>0.71699999999999997</v>
      </c>
      <c r="V37" s="34">
        <f>HLOOKUP(V$2,Models_Results!$B:$AP,$AC37,FALSE)</f>
        <v>3.2440000000000002</v>
      </c>
      <c r="W37" s="34">
        <f>HLOOKUP(W$2,Models_Results!$B:$AP,$AC37,FALSE)</f>
        <v>0.49099999999999999</v>
      </c>
      <c r="X37" s="34">
        <f>HLOOKUP(X$2,Models_Results!$B:$AP,$AC37,FALSE)</f>
        <v>2.5950000000000002</v>
      </c>
      <c r="Y37" s="34">
        <f>HLOOKUP(Y$2,Models_Results!$B:$AP,$AC37,FALSE)</f>
        <v>0.61399999999999999</v>
      </c>
      <c r="AC37">
        <v>34</v>
      </c>
    </row>
    <row r="38" spans="1:29" x14ac:dyDescent="0.2">
      <c r="A38">
        <f t="shared" si="0"/>
        <v>2033.25</v>
      </c>
      <c r="C38">
        <f>HLOOKUP(C$2,Models_Results!$B:$AP,$AC38,FALSE)</f>
        <v>1.048</v>
      </c>
      <c r="D38">
        <f>HLOOKUP(D$2,Models_Results!$B:$AP,$AC38,FALSE)</f>
        <v>0.17399999999999999</v>
      </c>
      <c r="E38">
        <f>HLOOKUP(E$2,Models_Results!$B:$AP,$AC38,FALSE)</f>
        <v>1.2569999999999999</v>
      </c>
      <c r="F38">
        <f>HLOOKUP(F$2,Models_Results!$B:$AP,$AC38,FALSE)</f>
        <v>1.1100000000000001</v>
      </c>
      <c r="G38">
        <f>HLOOKUP(G$2,Models_Results!$B:$AP,$AC38,FALSE)</f>
        <v>8.3000000000000004E-2</v>
      </c>
      <c r="H38">
        <f>HLOOKUP(H$2,Models_Results!$B:$AP,$AC38,FALSE)</f>
        <v>1.26</v>
      </c>
      <c r="I38">
        <f>HLOOKUP(I$2,Models_Results!$B:$AP,$AC38,FALSE)</f>
        <v>0.876</v>
      </c>
      <c r="J38">
        <f>HLOOKUP(J$2,Models_Results!$B:$AP,$AC38,FALSE)</f>
        <v>0.17499999999999999</v>
      </c>
      <c r="K38">
        <f>HLOOKUP(K$2,Models_Results!$B:$AP,$AC38,FALSE)</f>
        <v>1.7809999999999999</v>
      </c>
      <c r="N38" s="34">
        <f>HLOOKUP(N$2,Models_Results!$B:$AP,$AC38,FALSE)</f>
        <v>2.3330000000000002</v>
      </c>
      <c r="O38" s="34">
        <f>HLOOKUP(O$2,Models_Results!$B:$AP,$AC38,FALSE)</f>
        <v>0.79900000000000004</v>
      </c>
      <c r="P38" s="34">
        <f>HLOOKUP(P$2,Models_Results!$B:$AP,$AC38,FALSE)</f>
        <v>3.12</v>
      </c>
      <c r="Q38" s="34">
        <f>HLOOKUP(Q$2,Models_Results!$B:$AP,$AC38,FALSE)</f>
        <v>0.63500000000000001</v>
      </c>
      <c r="R38" s="34">
        <f>HLOOKUP(R$2,Models_Results!$B:$AP,$AC38,FALSE)</f>
        <v>2.5880000000000001</v>
      </c>
      <c r="S38" s="34">
        <f>HLOOKUP(S$2,Models_Results!$B:$AP,$AC38,FALSE)</f>
        <v>0.72399999999999998</v>
      </c>
      <c r="T38" s="34">
        <f>HLOOKUP(T$2,Models_Results!$B:$AP,$AC38,FALSE)</f>
        <v>2.3330000000000002</v>
      </c>
      <c r="U38" s="34">
        <f>HLOOKUP(U$2,Models_Results!$B:$AP,$AC38,FALSE)</f>
        <v>0.79900000000000004</v>
      </c>
      <c r="V38" s="34">
        <f>HLOOKUP(V$2,Models_Results!$B:$AP,$AC38,FALSE)</f>
        <v>3.3780000000000001</v>
      </c>
      <c r="W38" s="34">
        <f>HLOOKUP(W$2,Models_Results!$B:$AP,$AC38,FALSE)</f>
        <v>0.59699999999999998</v>
      </c>
      <c r="X38" s="34">
        <f>HLOOKUP(X$2,Models_Results!$B:$AP,$AC38,FALSE)</f>
        <v>2.677</v>
      </c>
      <c r="Y38" s="34">
        <f>HLOOKUP(Y$2,Models_Results!$B:$AP,$AC38,FALSE)</f>
        <v>0.70199999999999996</v>
      </c>
      <c r="AC38">
        <v>35</v>
      </c>
    </row>
    <row r="39" spans="1:29" x14ac:dyDescent="0.2">
      <c r="A39">
        <f t="shared" si="0"/>
        <v>2033.5</v>
      </c>
      <c r="C39">
        <f>HLOOKUP(C$2,Models_Results!$B:$AP,$AC39,FALSE)</f>
        <v>1.077</v>
      </c>
      <c r="D39">
        <f>HLOOKUP(D$2,Models_Results!$B:$AP,$AC39,FALSE)</f>
        <v>0.21299999999999999</v>
      </c>
      <c r="E39">
        <f>HLOOKUP(E$2,Models_Results!$B:$AP,$AC39,FALSE)</f>
        <v>1.31</v>
      </c>
      <c r="F39">
        <f>HLOOKUP(F$2,Models_Results!$B:$AP,$AC39,FALSE)</f>
        <v>1.1459999999999999</v>
      </c>
      <c r="G39">
        <f>HLOOKUP(G$2,Models_Results!$B:$AP,$AC39,FALSE)</f>
        <v>0.125</v>
      </c>
      <c r="H39">
        <f>HLOOKUP(H$2,Models_Results!$B:$AP,$AC39,FALSE)</f>
        <v>1.325</v>
      </c>
      <c r="I39">
        <f>HLOOKUP(I$2,Models_Results!$B:$AP,$AC39,FALSE)</f>
        <v>0.92800000000000005</v>
      </c>
      <c r="J39">
        <f>HLOOKUP(J$2,Models_Results!$B:$AP,$AC39,FALSE)</f>
        <v>0.26800000000000002</v>
      </c>
      <c r="K39">
        <f>HLOOKUP(K$2,Models_Results!$B:$AP,$AC39,FALSE)</f>
        <v>1.7969999999999999</v>
      </c>
      <c r="N39" s="34">
        <f>HLOOKUP(N$2,Models_Results!$B:$AP,$AC39,FALSE)</f>
        <v>2.383</v>
      </c>
      <c r="O39" s="34">
        <f>HLOOKUP(O$2,Models_Results!$B:$AP,$AC39,FALSE)</f>
        <v>0.88200000000000001</v>
      </c>
      <c r="P39" s="34">
        <f>HLOOKUP(P$2,Models_Results!$B:$AP,$AC39,FALSE)</f>
        <v>3.2349999999999999</v>
      </c>
      <c r="Q39" s="34">
        <f>HLOOKUP(Q$2,Models_Results!$B:$AP,$AC39,FALSE)</f>
        <v>0.73799999999999999</v>
      </c>
      <c r="R39" s="34">
        <f>HLOOKUP(R$2,Models_Results!$B:$AP,$AC39,FALSE)</f>
        <v>2.661</v>
      </c>
      <c r="S39" s="34">
        <f>HLOOKUP(S$2,Models_Results!$B:$AP,$AC39,FALSE)</f>
        <v>0.81299999999999994</v>
      </c>
      <c r="T39" s="34">
        <f>HLOOKUP(T$2,Models_Results!$B:$AP,$AC39,FALSE)</f>
        <v>2.383</v>
      </c>
      <c r="U39" s="34">
        <f>HLOOKUP(U$2,Models_Results!$B:$AP,$AC39,FALSE)</f>
        <v>0.88200000000000001</v>
      </c>
      <c r="V39" s="34">
        <f>HLOOKUP(V$2,Models_Results!$B:$AP,$AC39,FALSE)</f>
        <v>3.5129999999999999</v>
      </c>
      <c r="W39" s="34">
        <f>HLOOKUP(W$2,Models_Results!$B:$AP,$AC39,FALSE)</f>
        <v>0.70899999999999996</v>
      </c>
      <c r="X39" s="34">
        <f>HLOOKUP(X$2,Models_Results!$B:$AP,$AC39,FALSE)</f>
        <v>2.7570000000000001</v>
      </c>
      <c r="Y39" s="34">
        <f>HLOOKUP(Y$2,Models_Results!$B:$AP,$AC39,FALSE)</f>
        <v>0.79200000000000004</v>
      </c>
      <c r="AC39">
        <v>36</v>
      </c>
    </row>
    <row r="40" spans="1:29" x14ac:dyDescent="0.2">
      <c r="A40">
        <f t="shared" si="0"/>
        <v>2033.75</v>
      </c>
      <c r="C40">
        <f>HLOOKUP(C$2,Models_Results!$B:$AP,$AC40,FALSE)</f>
        <v>1.105</v>
      </c>
      <c r="D40">
        <f>HLOOKUP(D$2,Models_Results!$B:$AP,$AC40,FALSE)</f>
        <v>0.253</v>
      </c>
      <c r="E40">
        <f>HLOOKUP(E$2,Models_Results!$B:$AP,$AC40,FALSE)</f>
        <v>1.361</v>
      </c>
      <c r="F40">
        <f>HLOOKUP(F$2,Models_Results!$B:$AP,$AC40,FALSE)</f>
        <v>1.1830000000000001</v>
      </c>
      <c r="G40">
        <f>HLOOKUP(G$2,Models_Results!$B:$AP,$AC40,FALSE)</f>
        <v>0.16900000000000001</v>
      </c>
      <c r="H40">
        <f>HLOOKUP(H$2,Models_Results!$B:$AP,$AC40,FALSE)</f>
        <v>1.39</v>
      </c>
      <c r="I40">
        <f>HLOOKUP(I$2,Models_Results!$B:$AP,$AC40,FALSE)</f>
        <v>0.98</v>
      </c>
      <c r="J40">
        <f>HLOOKUP(J$2,Models_Results!$B:$AP,$AC40,FALSE)</f>
        <v>0.36599999999999999</v>
      </c>
      <c r="K40">
        <f>HLOOKUP(K$2,Models_Results!$B:$AP,$AC40,FALSE)</f>
        <v>1.806</v>
      </c>
      <c r="N40" s="34">
        <f>HLOOKUP(N$2,Models_Results!$B:$AP,$AC40,FALSE)</f>
        <v>2.4319999999999999</v>
      </c>
      <c r="O40" s="34">
        <f>HLOOKUP(O$2,Models_Results!$B:$AP,$AC40,FALSE)</f>
        <v>0.96599999999999997</v>
      </c>
      <c r="P40" s="34">
        <f>HLOOKUP(P$2,Models_Results!$B:$AP,$AC40,FALSE)</f>
        <v>3.351</v>
      </c>
      <c r="Q40" s="34">
        <f>HLOOKUP(Q$2,Models_Results!$B:$AP,$AC40,FALSE)</f>
        <v>0.84599999999999997</v>
      </c>
      <c r="R40" s="34">
        <f>HLOOKUP(R$2,Models_Results!$B:$AP,$AC40,FALSE)</f>
        <v>2.7330000000000001</v>
      </c>
      <c r="S40" s="34">
        <f>HLOOKUP(S$2,Models_Results!$B:$AP,$AC40,FALSE)</f>
        <v>0.90400000000000003</v>
      </c>
      <c r="T40" s="34">
        <f>HLOOKUP(T$2,Models_Results!$B:$AP,$AC40,FALSE)</f>
        <v>2.4319999999999999</v>
      </c>
      <c r="U40" s="34">
        <f>HLOOKUP(U$2,Models_Results!$B:$AP,$AC40,FALSE)</f>
        <v>0.96599999999999997</v>
      </c>
      <c r="V40" s="34">
        <f>HLOOKUP(V$2,Models_Results!$B:$AP,$AC40,FALSE)</f>
        <v>3.649</v>
      </c>
      <c r="W40" s="34">
        <f>HLOOKUP(W$2,Models_Results!$B:$AP,$AC40,FALSE)</f>
        <v>0.82499999999999996</v>
      </c>
      <c r="X40" s="34">
        <f>HLOOKUP(X$2,Models_Results!$B:$AP,$AC40,FALSE)</f>
        <v>2.8359999999999999</v>
      </c>
      <c r="Y40" s="34">
        <f>HLOOKUP(Y$2,Models_Results!$B:$AP,$AC40,FALSE)</f>
        <v>0.88600000000000001</v>
      </c>
      <c r="AC40">
        <v>37</v>
      </c>
    </row>
    <row r="41" spans="1:29" x14ac:dyDescent="0.2">
      <c r="A41">
        <f t="shared" si="0"/>
        <v>2034</v>
      </c>
      <c r="C41">
        <f>HLOOKUP(C$2,Models_Results!$B:$AP,$AC41,FALSE)</f>
        <v>1.1319999999999999</v>
      </c>
      <c r="D41">
        <f>HLOOKUP(D$2,Models_Results!$B:$AP,$AC41,FALSE)</f>
        <v>0.29499999999999998</v>
      </c>
      <c r="E41">
        <f>HLOOKUP(E$2,Models_Results!$B:$AP,$AC41,FALSE)</f>
        <v>1.4119999999999999</v>
      </c>
      <c r="F41">
        <f>HLOOKUP(F$2,Models_Results!$B:$AP,$AC41,FALSE)</f>
        <v>1.2190000000000001</v>
      </c>
      <c r="G41">
        <f>HLOOKUP(G$2,Models_Results!$B:$AP,$AC41,FALSE)</f>
        <v>0.214</v>
      </c>
      <c r="H41">
        <f>HLOOKUP(H$2,Models_Results!$B:$AP,$AC41,FALSE)</f>
        <v>1.4550000000000001</v>
      </c>
      <c r="I41">
        <f>HLOOKUP(I$2,Models_Results!$B:$AP,$AC41,FALSE)</f>
        <v>1.032</v>
      </c>
      <c r="J41">
        <f>HLOOKUP(J$2,Models_Results!$B:$AP,$AC41,FALSE)</f>
        <v>0.46700000000000003</v>
      </c>
      <c r="K41">
        <f>HLOOKUP(K$2,Models_Results!$B:$AP,$AC41,FALSE)</f>
        <v>1.8109999999999999</v>
      </c>
      <c r="N41" s="34">
        <f>HLOOKUP(N$2,Models_Results!$B:$AP,$AC41,FALSE)</f>
        <v>2.4790000000000001</v>
      </c>
      <c r="O41" s="34">
        <f>HLOOKUP(O$2,Models_Results!$B:$AP,$AC41,FALSE)</f>
        <v>1.0509999999999999</v>
      </c>
      <c r="P41" s="34">
        <f>HLOOKUP(P$2,Models_Results!$B:$AP,$AC41,FALSE)</f>
        <v>3.4670000000000001</v>
      </c>
      <c r="Q41" s="34">
        <f>HLOOKUP(Q$2,Models_Results!$B:$AP,$AC41,FALSE)</f>
        <v>0.95699999999999996</v>
      </c>
      <c r="R41" s="34">
        <f>HLOOKUP(R$2,Models_Results!$B:$AP,$AC41,FALSE)</f>
        <v>2.8039999999999998</v>
      </c>
      <c r="S41" s="34">
        <f>HLOOKUP(S$2,Models_Results!$B:$AP,$AC41,FALSE)</f>
        <v>0.997</v>
      </c>
      <c r="T41" s="34">
        <f>HLOOKUP(T$2,Models_Results!$B:$AP,$AC41,FALSE)</f>
        <v>2.4790000000000001</v>
      </c>
      <c r="U41" s="34">
        <f>HLOOKUP(U$2,Models_Results!$B:$AP,$AC41,FALSE)</f>
        <v>1.0509999999999999</v>
      </c>
      <c r="V41" s="34">
        <f>HLOOKUP(V$2,Models_Results!$B:$AP,$AC41,FALSE)</f>
        <v>3.7850000000000001</v>
      </c>
      <c r="W41" s="34">
        <f>HLOOKUP(W$2,Models_Results!$B:$AP,$AC41,FALSE)</f>
        <v>0.94599999999999995</v>
      </c>
      <c r="X41" s="34">
        <f>HLOOKUP(X$2,Models_Results!$B:$AP,$AC41,FALSE)</f>
        <v>2.915</v>
      </c>
      <c r="Y41" s="34">
        <f>HLOOKUP(Y$2,Models_Results!$B:$AP,$AC41,FALSE)</f>
        <v>0.98199999999999998</v>
      </c>
      <c r="AC41">
        <v>38</v>
      </c>
    </row>
    <row r="42" spans="1:29" x14ac:dyDescent="0.2">
      <c r="A42">
        <f t="shared" si="0"/>
        <v>2034.25</v>
      </c>
      <c r="C42">
        <f>HLOOKUP(C$2,Models_Results!$B:$AP,$AC42,FALSE)</f>
        <v>1.159</v>
      </c>
      <c r="D42">
        <f>HLOOKUP(D$2,Models_Results!$B:$AP,$AC42,FALSE)</f>
        <v>0.33600000000000002</v>
      </c>
      <c r="E42">
        <f>HLOOKUP(E$2,Models_Results!$B:$AP,$AC42,FALSE)</f>
        <v>1.4610000000000001</v>
      </c>
      <c r="F42">
        <f>HLOOKUP(F$2,Models_Results!$B:$AP,$AC42,FALSE)</f>
        <v>1.2549999999999999</v>
      </c>
      <c r="G42">
        <f>HLOOKUP(G$2,Models_Results!$B:$AP,$AC42,FALSE)</f>
        <v>0.26100000000000001</v>
      </c>
      <c r="H42">
        <f>HLOOKUP(H$2,Models_Results!$B:$AP,$AC42,FALSE)</f>
        <v>1.52</v>
      </c>
      <c r="I42">
        <f>HLOOKUP(I$2,Models_Results!$B:$AP,$AC42,FALSE)</f>
        <v>1.0840000000000001</v>
      </c>
      <c r="J42">
        <f>HLOOKUP(J$2,Models_Results!$B:$AP,$AC42,FALSE)</f>
        <v>0.57399999999999995</v>
      </c>
      <c r="K42">
        <f>HLOOKUP(K$2,Models_Results!$B:$AP,$AC42,FALSE)</f>
        <v>1.8089999999999999</v>
      </c>
      <c r="N42" s="34">
        <f>HLOOKUP(N$2,Models_Results!$B:$AP,$AC42,FALSE)</f>
        <v>2.5249999999999999</v>
      </c>
      <c r="O42" s="34">
        <f>HLOOKUP(O$2,Models_Results!$B:$AP,$AC42,FALSE)</f>
        <v>1.137</v>
      </c>
      <c r="P42" s="34">
        <f>HLOOKUP(P$2,Models_Results!$B:$AP,$AC42,FALSE)</f>
        <v>3.5830000000000002</v>
      </c>
      <c r="Q42" s="34">
        <f>HLOOKUP(Q$2,Models_Results!$B:$AP,$AC42,FALSE)</f>
        <v>1.073</v>
      </c>
      <c r="R42" s="34">
        <f>HLOOKUP(R$2,Models_Results!$B:$AP,$AC42,FALSE)</f>
        <v>2.8740000000000001</v>
      </c>
      <c r="S42" s="34">
        <f>HLOOKUP(S$2,Models_Results!$B:$AP,$AC42,FALSE)</f>
        <v>1.0920000000000001</v>
      </c>
      <c r="T42" s="34">
        <f>HLOOKUP(T$2,Models_Results!$B:$AP,$AC42,FALSE)</f>
        <v>2.5249999999999999</v>
      </c>
      <c r="U42" s="34">
        <f>HLOOKUP(U$2,Models_Results!$B:$AP,$AC42,FALSE)</f>
        <v>1.137</v>
      </c>
      <c r="V42" s="34">
        <f>HLOOKUP(V$2,Models_Results!$B:$AP,$AC42,FALSE)</f>
        <v>3.923</v>
      </c>
      <c r="W42" s="34">
        <f>HLOOKUP(W$2,Models_Results!$B:$AP,$AC42,FALSE)</f>
        <v>1.0720000000000001</v>
      </c>
      <c r="X42" s="34">
        <f>HLOOKUP(X$2,Models_Results!$B:$AP,$AC42,FALSE)</f>
        <v>2.9929999999999999</v>
      </c>
      <c r="Y42" s="34">
        <f>HLOOKUP(Y$2,Models_Results!$B:$AP,$AC42,FALSE)</f>
        <v>1.081</v>
      </c>
      <c r="AC42">
        <v>39</v>
      </c>
    </row>
    <row r="43" spans="1:29" x14ac:dyDescent="0.2">
      <c r="A43">
        <f t="shared" si="0"/>
        <v>2034.5</v>
      </c>
      <c r="C43">
        <f>HLOOKUP(C$2,Models_Results!$B:$AP,$AC43,FALSE)</f>
        <v>1.1859999999999999</v>
      </c>
      <c r="D43">
        <f>HLOOKUP(D$2,Models_Results!$B:$AP,$AC43,FALSE)</f>
        <v>0.379</v>
      </c>
      <c r="E43">
        <f>HLOOKUP(E$2,Models_Results!$B:$AP,$AC43,FALSE)</f>
        <v>1.51</v>
      </c>
      <c r="F43">
        <f>HLOOKUP(F$2,Models_Results!$B:$AP,$AC43,FALSE)</f>
        <v>1.2909999999999999</v>
      </c>
      <c r="G43">
        <f>HLOOKUP(G$2,Models_Results!$B:$AP,$AC43,FALSE)</f>
        <v>0.308</v>
      </c>
      <c r="H43">
        <f>HLOOKUP(H$2,Models_Results!$B:$AP,$AC43,FALSE)</f>
        <v>1.5840000000000001</v>
      </c>
      <c r="I43">
        <f>HLOOKUP(I$2,Models_Results!$B:$AP,$AC43,FALSE)</f>
        <v>1.135</v>
      </c>
      <c r="J43">
        <f>HLOOKUP(J$2,Models_Results!$B:$AP,$AC43,FALSE)</f>
        <v>0.68600000000000005</v>
      </c>
      <c r="K43">
        <f>HLOOKUP(K$2,Models_Results!$B:$AP,$AC43,FALSE)</f>
        <v>1.7989999999999999</v>
      </c>
      <c r="N43" s="34">
        <f>HLOOKUP(N$2,Models_Results!$B:$AP,$AC43,FALSE)</f>
        <v>2.569</v>
      </c>
      <c r="O43" s="34">
        <f>HLOOKUP(O$2,Models_Results!$B:$AP,$AC43,FALSE)</f>
        <v>1.224</v>
      </c>
      <c r="P43" s="34">
        <f>HLOOKUP(P$2,Models_Results!$B:$AP,$AC43,FALSE)</f>
        <v>3.7</v>
      </c>
      <c r="Q43" s="34">
        <f>HLOOKUP(Q$2,Models_Results!$B:$AP,$AC43,FALSE)</f>
        <v>1.1910000000000001</v>
      </c>
      <c r="R43" s="34">
        <f>HLOOKUP(R$2,Models_Results!$B:$AP,$AC43,FALSE)</f>
        <v>2.9420000000000002</v>
      </c>
      <c r="S43" s="34">
        <f>HLOOKUP(S$2,Models_Results!$B:$AP,$AC43,FALSE)</f>
        <v>1.1890000000000001</v>
      </c>
      <c r="T43" s="34">
        <f>HLOOKUP(T$2,Models_Results!$B:$AP,$AC43,FALSE)</f>
        <v>2.569</v>
      </c>
      <c r="U43" s="34">
        <f>HLOOKUP(U$2,Models_Results!$B:$AP,$AC43,FALSE)</f>
        <v>1.224</v>
      </c>
      <c r="V43" s="34">
        <f>HLOOKUP(V$2,Models_Results!$B:$AP,$AC43,FALSE)</f>
        <v>4.0609999999999999</v>
      </c>
      <c r="W43" s="34">
        <f>HLOOKUP(W$2,Models_Results!$B:$AP,$AC43,FALSE)</f>
        <v>1.202</v>
      </c>
      <c r="X43" s="34">
        <f>HLOOKUP(X$2,Models_Results!$B:$AP,$AC43,FALSE)</f>
        <v>3.069</v>
      </c>
      <c r="Y43" s="34">
        <f>HLOOKUP(Y$2,Models_Results!$B:$AP,$AC43,FALSE)</f>
        <v>1.1819999999999999</v>
      </c>
      <c r="AC43">
        <v>40</v>
      </c>
    </row>
    <row r="44" spans="1:29" x14ac:dyDescent="0.2">
      <c r="A44">
        <f t="shared" si="0"/>
        <v>2034.75</v>
      </c>
      <c r="C44">
        <f>HLOOKUP(C$2,Models_Results!$B:$AP,$AC44,FALSE)</f>
        <v>1.2110000000000001</v>
      </c>
      <c r="D44">
        <f>HLOOKUP(D$2,Models_Results!$B:$AP,$AC44,FALSE)</f>
        <v>0.42299999999999999</v>
      </c>
      <c r="E44">
        <f>HLOOKUP(E$2,Models_Results!$B:$AP,$AC44,FALSE)</f>
        <v>1.5580000000000001</v>
      </c>
      <c r="F44">
        <f>HLOOKUP(F$2,Models_Results!$B:$AP,$AC44,FALSE)</f>
        <v>1.3260000000000001</v>
      </c>
      <c r="G44">
        <f>HLOOKUP(G$2,Models_Results!$B:$AP,$AC44,FALSE)</f>
        <v>0.35799999999999998</v>
      </c>
      <c r="H44">
        <f>HLOOKUP(H$2,Models_Results!$B:$AP,$AC44,FALSE)</f>
        <v>1.6479999999999999</v>
      </c>
      <c r="I44">
        <f>HLOOKUP(I$2,Models_Results!$B:$AP,$AC44,FALSE)</f>
        <v>1.1859999999999999</v>
      </c>
      <c r="J44">
        <f>HLOOKUP(J$2,Models_Results!$B:$AP,$AC44,FALSE)</f>
        <v>0.80300000000000005</v>
      </c>
      <c r="K44">
        <f>HLOOKUP(K$2,Models_Results!$B:$AP,$AC44,FALSE)</f>
        <v>1.784</v>
      </c>
      <c r="N44" s="34">
        <f>HLOOKUP(N$2,Models_Results!$B:$AP,$AC44,FALSE)</f>
        <v>2.6120000000000001</v>
      </c>
      <c r="O44" s="34">
        <f>HLOOKUP(O$2,Models_Results!$B:$AP,$AC44,FALSE)</f>
        <v>1.3109999999999999</v>
      </c>
      <c r="P44" s="34">
        <f>HLOOKUP(P$2,Models_Results!$B:$AP,$AC44,FALSE)</f>
        <v>3.8180000000000001</v>
      </c>
      <c r="Q44" s="34">
        <f>HLOOKUP(Q$2,Models_Results!$B:$AP,$AC44,FALSE)</f>
        <v>1.3140000000000001</v>
      </c>
      <c r="R44" s="34">
        <f>HLOOKUP(R$2,Models_Results!$B:$AP,$AC44,FALSE)</f>
        <v>3.01</v>
      </c>
      <c r="S44" s="34">
        <f>HLOOKUP(S$2,Models_Results!$B:$AP,$AC44,FALSE)</f>
        <v>1.288</v>
      </c>
      <c r="T44" s="34">
        <f>HLOOKUP(T$2,Models_Results!$B:$AP,$AC44,FALSE)</f>
        <v>2.6120000000000001</v>
      </c>
      <c r="U44" s="34">
        <f>HLOOKUP(U$2,Models_Results!$B:$AP,$AC44,FALSE)</f>
        <v>1.3109999999999999</v>
      </c>
      <c r="V44" s="34">
        <f>HLOOKUP(V$2,Models_Results!$B:$AP,$AC44,FALSE)</f>
        <v>4.2</v>
      </c>
      <c r="W44" s="34">
        <f>HLOOKUP(W$2,Models_Results!$B:$AP,$AC44,FALSE)</f>
        <v>1.337</v>
      </c>
      <c r="X44" s="34">
        <f>HLOOKUP(X$2,Models_Results!$B:$AP,$AC44,FALSE)</f>
        <v>3.145</v>
      </c>
      <c r="Y44" s="34">
        <f>HLOOKUP(Y$2,Models_Results!$B:$AP,$AC44,FALSE)</f>
        <v>1.284</v>
      </c>
      <c r="AC44">
        <v>41</v>
      </c>
    </row>
    <row r="45" spans="1:29" x14ac:dyDescent="0.2">
      <c r="A45">
        <f t="shared" si="0"/>
        <v>2035</v>
      </c>
      <c r="C45">
        <f>HLOOKUP(C$2,Models_Results!$B:$AP,$AC45,FALSE)</f>
        <v>1.2370000000000001</v>
      </c>
      <c r="D45">
        <f>HLOOKUP(D$2,Models_Results!$B:$AP,$AC45,FALSE)</f>
        <v>0.46700000000000003</v>
      </c>
      <c r="E45">
        <f>HLOOKUP(E$2,Models_Results!$B:$AP,$AC45,FALSE)</f>
        <v>1.6040000000000001</v>
      </c>
      <c r="F45">
        <f>HLOOKUP(F$2,Models_Results!$B:$AP,$AC45,FALSE)</f>
        <v>1.361</v>
      </c>
      <c r="G45">
        <f>HLOOKUP(G$2,Models_Results!$B:$AP,$AC45,FALSE)</f>
        <v>0.40799999999999997</v>
      </c>
      <c r="H45">
        <f>HLOOKUP(H$2,Models_Results!$B:$AP,$AC45,FALSE)</f>
        <v>1.712</v>
      </c>
      <c r="I45">
        <f>HLOOKUP(I$2,Models_Results!$B:$AP,$AC45,FALSE)</f>
        <v>1.238</v>
      </c>
      <c r="J45">
        <f>HLOOKUP(J$2,Models_Results!$B:$AP,$AC45,FALSE)</f>
        <v>0.92600000000000005</v>
      </c>
      <c r="K45">
        <f>HLOOKUP(K$2,Models_Results!$B:$AP,$AC45,FALSE)</f>
        <v>1.7609999999999999</v>
      </c>
      <c r="N45" s="34">
        <f>HLOOKUP(N$2,Models_Results!$B:$AP,$AC45,FALSE)</f>
        <v>2.6539999999999999</v>
      </c>
      <c r="O45" s="34">
        <f>HLOOKUP(O$2,Models_Results!$B:$AP,$AC45,FALSE)</f>
        <v>1.399</v>
      </c>
      <c r="P45" s="34">
        <f>HLOOKUP(P$2,Models_Results!$B:$AP,$AC45,FALSE)</f>
        <v>3.9359999999999999</v>
      </c>
      <c r="Q45" s="34">
        <f>HLOOKUP(Q$2,Models_Results!$B:$AP,$AC45,FALSE)</f>
        <v>1.4390000000000001</v>
      </c>
      <c r="R45" s="34">
        <f>HLOOKUP(R$2,Models_Results!$B:$AP,$AC45,FALSE)</f>
        <v>3.077</v>
      </c>
      <c r="S45" s="34">
        <f>HLOOKUP(S$2,Models_Results!$B:$AP,$AC45,FALSE)</f>
        <v>1.3879999999999999</v>
      </c>
      <c r="T45" s="34">
        <f>HLOOKUP(T$2,Models_Results!$B:$AP,$AC45,FALSE)</f>
        <v>2.6539999999999999</v>
      </c>
      <c r="U45" s="34">
        <f>HLOOKUP(U$2,Models_Results!$B:$AP,$AC45,FALSE)</f>
        <v>1.399</v>
      </c>
      <c r="V45" s="34">
        <f>HLOOKUP(V$2,Models_Results!$B:$AP,$AC45,FALSE)</f>
        <v>4.3410000000000002</v>
      </c>
      <c r="W45" s="34">
        <f>HLOOKUP(W$2,Models_Results!$B:$AP,$AC45,FALSE)</f>
        <v>1.476</v>
      </c>
      <c r="X45" s="34">
        <f>HLOOKUP(X$2,Models_Results!$B:$AP,$AC45,FALSE)</f>
        <v>3.22</v>
      </c>
      <c r="Y45" s="34">
        <f>HLOOKUP(Y$2,Models_Results!$B:$AP,$AC45,FALSE)</f>
        <v>1.389</v>
      </c>
      <c r="AC45">
        <v>42</v>
      </c>
    </row>
    <row r="46" spans="1:29" x14ac:dyDescent="0.2">
      <c r="A46">
        <f t="shared" si="0"/>
        <v>2035.25</v>
      </c>
      <c r="C46">
        <f>HLOOKUP(C$2,Models_Results!$B:$AP,$AC46,FALSE)</f>
        <v>1.262</v>
      </c>
      <c r="D46">
        <f>HLOOKUP(D$2,Models_Results!$B:$AP,$AC46,FALSE)</f>
        <v>0.51200000000000001</v>
      </c>
      <c r="E46">
        <f>HLOOKUP(E$2,Models_Results!$B:$AP,$AC46,FALSE)</f>
        <v>1.65</v>
      </c>
      <c r="F46">
        <f>HLOOKUP(F$2,Models_Results!$B:$AP,$AC46,FALSE)</f>
        <v>1.3959999999999999</v>
      </c>
      <c r="G46">
        <f>HLOOKUP(G$2,Models_Results!$B:$AP,$AC46,FALSE)</f>
        <v>0.46</v>
      </c>
      <c r="H46">
        <f>HLOOKUP(H$2,Models_Results!$B:$AP,$AC46,FALSE)</f>
        <v>1.7749999999999999</v>
      </c>
      <c r="I46">
        <f>HLOOKUP(I$2,Models_Results!$B:$AP,$AC46,FALSE)</f>
        <v>1.288</v>
      </c>
      <c r="J46">
        <f>HLOOKUP(J$2,Models_Results!$B:$AP,$AC46,FALSE)</f>
        <v>1.056</v>
      </c>
      <c r="K46">
        <f>HLOOKUP(K$2,Models_Results!$B:$AP,$AC46,FALSE)</f>
        <v>1.732</v>
      </c>
      <c r="N46" s="34">
        <f>HLOOKUP(N$2,Models_Results!$B:$AP,$AC46,FALSE)</f>
        <v>2.694</v>
      </c>
      <c r="O46" s="34">
        <f>HLOOKUP(O$2,Models_Results!$B:$AP,$AC46,FALSE)</f>
        <v>1.4870000000000001</v>
      </c>
      <c r="P46" s="34">
        <f>HLOOKUP(P$2,Models_Results!$B:$AP,$AC46,FALSE)</f>
        <v>4.0549999999999997</v>
      </c>
      <c r="Q46" s="34">
        <f>HLOOKUP(Q$2,Models_Results!$B:$AP,$AC46,FALSE)</f>
        <v>1.5680000000000001</v>
      </c>
      <c r="R46" s="34">
        <f>HLOOKUP(R$2,Models_Results!$B:$AP,$AC46,FALSE)</f>
        <v>3.1429999999999998</v>
      </c>
      <c r="S46" s="34">
        <f>HLOOKUP(S$2,Models_Results!$B:$AP,$AC46,FALSE)</f>
        <v>1.49</v>
      </c>
      <c r="T46" s="34">
        <f>HLOOKUP(T$2,Models_Results!$B:$AP,$AC46,FALSE)</f>
        <v>2.694</v>
      </c>
      <c r="U46" s="34">
        <f>HLOOKUP(U$2,Models_Results!$B:$AP,$AC46,FALSE)</f>
        <v>1.4870000000000001</v>
      </c>
      <c r="V46" s="34">
        <f>HLOOKUP(V$2,Models_Results!$B:$AP,$AC46,FALSE)</f>
        <v>4.4829999999999997</v>
      </c>
      <c r="W46" s="34">
        <f>HLOOKUP(W$2,Models_Results!$B:$AP,$AC46,FALSE)</f>
        <v>1.6180000000000001</v>
      </c>
      <c r="X46" s="34">
        <f>HLOOKUP(X$2,Models_Results!$B:$AP,$AC46,FALSE)</f>
        <v>3.2949999999999999</v>
      </c>
      <c r="Y46" s="34">
        <f>HLOOKUP(Y$2,Models_Results!$B:$AP,$AC46,FALSE)</f>
        <v>1.496</v>
      </c>
      <c r="AC46">
        <v>43</v>
      </c>
    </row>
    <row r="47" spans="1:29" x14ac:dyDescent="0.2">
      <c r="A47">
        <f t="shared" si="0"/>
        <v>2035.5</v>
      </c>
      <c r="C47">
        <f>HLOOKUP(C$2,Models_Results!$B:$AP,$AC47,FALSE)</f>
        <v>1.286</v>
      </c>
      <c r="D47">
        <f>HLOOKUP(D$2,Models_Results!$B:$AP,$AC47,FALSE)</f>
        <v>0.55700000000000005</v>
      </c>
      <c r="E47">
        <f>HLOOKUP(E$2,Models_Results!$B:$AP,$AC47,FALSE)</f>
        <v>1.6950000000000001</v>
      </c>
      <c r="F47">
        <f>HLOOKUP(F$2,Models_Results!$B:$AP,$AC47,FALSE)</f>
        <v>1.431</v>
      </c>
      <c r="G47">
        <f>HLOOKUP(G$2,Models_Results!$B:$AP,$AC47,FALSE)</f>
        <v>0.51300000000000001</v>
      </c>
      <c r="H47">
        <f>HLOOKUP(H$2,Models_Results!$B:$AP,$AC47,FALSE)</f>
        <v>1.839</v>
      </c>
      <c r="I47">
        <f>HLOOKUP(I$2,Models_Results!$B:$AP,$AC47,FALSE)</f>
        <v>1.339</v>
      </c>
      <c r="J47">
        <f>HLOOKUP(J$2,Models_Results!$B:$AP,$AC47,FALSE)</f>
        <v>1.1839999999999999</v>
      </c>
      <c r="K47">
        <f>HLOOKUP(K$2,Models_Results!$B:$AP,$AC47,FALSE)</f>
        <v>1.7030000000000001</v>
      </c>
      <c r="N47" s="34">
        <f>HLOOKUP(N$2,Models_Results!$B:$AP,$AC47,FALSE)</f>
        <v>2.7330000000000001</v>
      </c>
      <c r="O47" s="34">
        <f>HLOOKUP(O$2,Models_Results!$B:$AP,$AC47,FALSE)</f>
        <v>1.575</v>
      </c>
      <c r="P47" s="34">
        <f>HLOOKUP(P$2,Models_Results!$B:$AP,$AC47,FALSE)</f>
        <v>4.17</v>
      </c>
      <c r="Q47" s="34">
        <f>HLOOKUP(Q$2,Models_Results!$B:$AP,$AC47,FALSE)</f>
        <v>1.702</v>
      </c>
      <c r="R47" s="34">
        <f>HLOOKUP(R$2,Models_Results!$B:$AP,$AC47,FALSE)</f>
        <v>3.2090000000000001</v>
      </c>
      <c r="S47" s="34">
        <f>HLOOKUP(S$2,Models_Results!$B:$AP,$AC47,FALSE)</f>
        <v>1.593</v>
      </c>
      <c r="T47" s="34">
        <f>HLOOKUP(T$2,Models_Results!$B:$AP,$AC47,FALSE)</f>
        <v>2.7330000000000001</v>
      </c>
      <c r="U47" s="34">
        <f>HLOOKUP(U$2,Models_Results!$B:$AP,$AC47,FALSE)</f>
        <v>1.575</v>
      </c>
      <c r="V47" s="34">
        <f>HLOOKUP(V$2,Models_Results!$B:$AP,$AC47,FALSE)</f>
        <v>4.6210000000000004</v>
      </c>
      <c r="W47" s="34">
        <f>HLOOKUP(W$2,Models_Results!$B:$AP,$AC47,FALSE)</f>
        <v>1.768</v>
      </c>
      <c r="X47" s="34">
        <f>HLOOKUP(X$2,Models_Results!$B:$AP,$AC47,FALSE)</f>
        <v>3.3679999999999999</v>
      </c>
      <c r="Y47" s="34">
        <f>HLOOKUP(Y$2,Models_Results!$B:$AP,$AC47,FALSE)</f>
        <v>1.6040000000000001</v>
      </c>
      <c r="AC47">
        <v>44</v>
      </c>
    </row>
    <row r="48" spans="1:29" x14ac:dyDescent="0.2">
      <c r="A48">
        <f t="shared" si="0"/>
        <v>2035.75</v>
      </c>
      <c r="C48">
        <f>HLOOKUP(C$2,Models_Results!$B:$AP,$AC48,FALSE)</f>
        <v>1.31</v>
      </c>
      <c r="D48">
        <f>HLOOKUP(D$2,Models_Results!$B:$AP,$AC48,FALSE)</f>
        <v>0.60299999999999998</v>
      </c>
      <c r="E48">
        <f>HLOOKUP(E$2,Models_Results!$B:$AP,$AC48,FALSE)</f>
        <v>1.7390000000000001</v>
      </c>
      <c r="F48">
        <f>HLOOKUP(F$2,Models_Results!$B:$AP,$AC48,FALSE)</f>
        <v>1.464</v>
      </c>
      <c r="G48">
        <f>HLOOKUP(G$2,Models_Results!$B:$AP,$AC48,FALSE)</f>
        <v>0.56699999999999995</v>
      </c>
      <c r="H48">
        <f>HLOOKUP(H$2,Models_Results!$B:$AP,$AC48,FALSE)</f>
        <v>1.9019999999999999</v>
      </c>
      <c r="I48">
        <f>HLOOKUP(I$2,Models_Results!$B:$AP,$AC48,FALSE)</f>
        <v>1.39</v>
      </c>
      <c r="J48">
        <f>HLOOKUP(J$2,Models_Results!$B:$AP,$AC48,FALSE)</f>
        <v>1.3109999999999999</v>
      </c>
      <c r="K48">
        <f>HLOOKUP(K$2,Models_Results!$B:$AP,$AC48,FALSE)</f>
        <v>1.6739999999999999</v>
      </c>
      <c r="N48" s="34">
        <f>HLOOKUP(N$2,Models_Results!$B:$AP,$AC48,FALSE)</f>
        <v>2.7709999999999999</v>
      </c>
      <c r="O48" s="34">
        <f>HLOOKUP(O$2,Models_Results!$B:$AP,$AC48,FALSE)</f>
        <v>1.6639999999999999</v>
      </c>
      <c r="P48" s="34">
        <f>HLOOKUP(P$2,Models_Results!$B:$AP,$AC48,FALSE)</f>
        <v>4.282</v>
      </c>
      <c r="Q48" s="34">
        <f>HLOOKUP(Q$2,Models_Results!$B:$AP,$AC48,FALSE)</f>
        <v>1.841</v>
      </c>
      <c r="R48" s="34">
        <f>HLOOKUP(R$2,Models_Results!$B:$AP,$AC48,FALSE)</f>
        <v>3.2730000000000001</v>
      </c>
      <c r="S48" s="34">
        <f>HLOOKUP(S$2,Models_Results!$B:$AP,$AC48,FALSE)</f>
        <v>1.6970000000000001</v>
      </c>
      <c r="T48" s="34">
        <f>HLOOKUP(T$2,Models_Results!$B:$AP,$AC48,FALSE)</f>
        <v>2.7709999999999999</v>
      </c>
      <c r="U48" s="34">
        <f>HLOOKUP(U$2,Models_Results!$B:$AP,$AC48,FALSE)</f>
        <v>1.6639999999999999</v>
      </c>
      <c r="V48" s="34">
        <f>HLOOKUP(V$2,Models_Results!$B:$AP,$AC48,FALSE)</f>
        <v>4.7539999999999996</v>
      </c>
      <c r="W48" s="34">
        <f>HLOOKUP(W$2,Models_Results!$B:$AP,$AC48,FALSE)</f>
        <v>1.9239999999999999</v>
      </c>
      <c r="X48" s="34">
        <f>HLOOKUP(X$2,Models_Results!$B:$AP,$AC48,FALSE)</f>
        <v>3.4409999999999998</v>
      </c>
      <c r="Y48" s="34">
        <f>HLOOKUP(Y$2,Models_Results!$B:$AP,$AC48,FALSE)</f>
        <v>1.714</v>
      </c>
      <c r="AC48">
        <v>45</v>
      </c>
    </row>
    <row r="49" spans="1:29" x14ac:dyDescent="0.2">
      <c r="A49">
        <f t="shared" si="0"/>
        <v>2036</v>
      </c>
      <c r="C49">
        <f>HLOOKUP(C$2,Models_Results!$B:$AP,$AC49,FALSE)</f>
        <v>1.3340000000000001</v>
      </c>
      <c r="D49">
        <f>HLOOKUP(D$2,Models_Results!$B:$AP,$AC49,FALSE)</f>
        <v>0.65</v>
      </c>
      <c r="E49">
        <f>HLOOKUP(E$2,Models_Results!$B:$AP,$AC49,FALSE)</f>
        <v>1.782</v>
      </c>
      <c r="F49">
        <f>HLOOKUP(F$2,Models_Results!$B:$AP,$AC49,FALSE)</f>
        <v>1.4970000000000001</v>
      </c>
      <c r="G49">
        <f>HLOOKUP(G$2,Models_Results!$B:$AP,$AC49,FALSE)</f>
        <v>0.623</v>
      </c>
      <c r="H49">
        <f>HLOOKUP(H$2,Models_Results!$B:$AP,$AC49,FALSE)</f>
        <v>1.9650000000000001</v>
      </c>
      <c r="I49">
        <f>HLOOKUP(I$2,Models_Results!$B:$AP,$AC49,FALSE)</f>
        <v>1.44</v>
      </c>
      <c r="J49">
        <f>HLOOKUP(J$2,Models_Results!$B:$AP,$AC49,FALSE)</f>
        <v>1.4350000000000001</v>
      </c>
      <c r="K49">
        <f>HLOOKUP(K$2,Models_Results!$B:$AP,$AC49,FALSE)</f>
        <v>1.647</v>
      </c>
      <c r="N49" s="34">
        <f>HLOOKUP(N$2,Models_Results!$B:$AP,$AC49,FALSE)</f>
        <v>2.8079999999999998</v>
      </c>
      <c r="O49" s="34">
        <f>HLOOKUP(O$2,Models_Results!$B:$AP,$AC49,FALSE)</f>
        <v>1.752</v>
      </c>
      <c r="P49" s="34">
        <f>HLOOKUP(P$2,Models_Results!$B:$AP,$AC49,FALSE)</f>
        <v>4.391</v>
      </c>
      <c r="Q49" s="34">
        <f>HLOOKUP(Q$2,Models_Results!$B:$AP,$AC49,FALSE)</f>
        <v>1.9850000000000001</v>
      </c>
      <c r="R49" s="34">
        <f>HLOOKUP(R$2,Models_Results!$B:$AP,$AC49,FALSE)</f>
        <v>3.3359999999999999</v>
      </c>
      <c r="S49" s="34">
        <f>HLOOKUP(S$2,Models_Results!$B:$AP,$AC49,FALSE)</f>
        <v>1.802</v>
      </c>
      <c r="T49" s="34">
        <f>HLOOKUP(T$2,Models_Results!$B:$AP,$AC49,FALSE)</f>
        <v>2.8079999999999998</v>
      </c>
      <c r="U49" s="34">
        <f>HLOOKUP(U$2,Models_Results!$B:$AP,$AC49,FALSE)</f>
        <v>1.752</v>
      </c>
      <c r="V49" s="34">
        <f>HLOOKUP(V$2,Models_Results!$B:$AP,$AC49,FALSE)</f>
        <v>4.8840000000000003</v>
      </c>
      <c r="W49" s="34">
        <f>HLOOKUP(W$2,Models_Results!$B:$AP,$AC49,FALSE)</f>
        <v>2.0859999999999999</v>
      </c>
      <c r="X49" s="34">
        <f>HLOOKUP(X$2,Models_Results!$B:$AP,$AC49,FALSE)</f>
        <v>3.5129999999999999</v>
      </c>
      <c r="Y49" s="34">
        <f>HLOOKUP(Y$2,Models_Results!$B:$AP,$AC49,FALSE)</f>
        <v>1.825</v>
      </c>
      <c r="AC49">
        <v>46</v>
      </c>
    </row>
    <row r="50" spans="1:29" x14ac:dyDescent="0.2">
      <c r="A50">
        <f t="shared" si="0"/>
        <v>2036.25</v>
      </c>
      <c r="C50">
        <f>HLOOKUP(C$2,Models_Results!$B:$AP,$AC50,FALSE)</f>
        <v>1.357</v>
      </c>
      <c r="D50">
        <f>HLOOKUP(D$2,Models_Results!$B:$AP,$AC50,FALSE)</f>
        <v>0.69699999999999995</v>
      </c>
      <c r="E50">
        <f>HLOOKUP(E$2,Models_Results!$B:$AP,$AC50,FALSE)</f>
        <v>1.8240000000000001</v>
      </c>
      <c r="F50">
        <f>HLOOKUP(F$2,Models_Results!$B:$AP,$AC50,FALSE)</f>
        <v>1.53</v>
      </c>
      <c r="G50">
        <f>HLOOKUP(G$2,Models_Results!$B:$AP,$AC50,FALSE)</f>
        <v>0.67900000000000005</v>
      </c>
      <c r="H50">
        <f>HLOOKUP(H$2,Models_Results!$B:$AP,$AC50,FALSE)</f>
        <v>2.028</v>
      </c>
      <c r="I50">
        <f>HLOOKUP(I$2,Models_Results!$B:$AP,$AC50,FALSE)</f>
        <v>1.49</v>
      </c>
      <c r="J50">
        <f>HLOOKUP(J$2,Models_Results!$B:$AP,$AC50,FALSE)</f>
        <v>1.5569999999999999</v>
      </c>
      <c r="K50">
        <f>HLOOKUP(K$2,Models_Results!$B:$AP,$AC50,FALSE)</f>
        <v>1.621</v>
      </c>
      <c r="N50" s="34">
        <f>HLOOKUP(N$2,Models_Results!$B:$AP,$AC50,FALSE)</f>
        <v>2.843</v>
      </c>
      <c r="O50" s="34">
        <f>HLOOKUP(O$2,Models_Results!$B:$AP,$AC50,FALSE)</f>
        <v>1.84</v>
      </c>
      <c r="P50" s="34">
        <f>HLOOKUP(P$2,Models_Results!$B:$AP,$AC50,FALSE)</f>
        <v>4.4960000000000004</v>
      </c>
      <c r="Q50" s="34">
        <f>HLOOKUP(Q$2,Models_Results!$B:$AP,$AC50,FALSE)</f>
        <v>2.133</v>
      </c>
      <c r="R50" s="34">
        <f>HLOOKUP(R$2,Models_Results!$B:$AP,$AC50,FALSE)</f>
        <v>3.399</v>
      </c>
      <c r="S50" s="34">
        <f>HLOOKUP(S$2,Models_Results!$B:$AP,$AC50,FALSE)</f>
        <v>1.909</v>
      </c>
      <c r="T50" s="34">
        <f>HLOOKUP(T$2,Models_Results!$B:$AP,$AC50,FALSE)</f>
        <v>2.843</v>
      </c>
      <c r="U50" s="34">
        <f>HLOOKUP(U$2,Models_Results!$B:$AP,$AC50,FALSE)</f>
        <v>1.84</v>
      </c>
      <c r="V50" s="34">
        <f>HLOOKUP(V$2,Models_Results!$B:$AP,$AC50,FALSE)</f>
        <v>5.0090000000000003</v>
      </c>
      <c r="W50" s="34">
        <f>HLOOKUP(W$2,Models_Results!$B:$AP,$AC50,FALSE)</f>
        <v>2.2530000000000001</v>
      </c>
      <c r="X50" s="34">
        <f>HLOOKUP(X$2,Models_Results!$B:$AP,$AC50,FALSE)</f>
        <v>3.585</v>
      </c>
      <c r="Y50" s="34">
        <f>HLOOKUP(Y$2,Models_Results!$B:$AP,$AC50,FALSE)</f>
        <v>1.9379999999999999</v>
      </c>
      <c r="AC50">
        <v>47</v>
      </c>
    </row>
    <row r="51" spans="1:29" x14ac:dyDescent="0.2">
      <c r="A51">
        <f t="shared" si="0"/>
        <v>2036.5</v>
      </c>
      <c r="C51">
        <f>HLOOKUP(C$2,Models_Results!$B:$AP,$AC51,FALSE)</f>
        <v>1.38</v>
      </c>
      <c r="D51">
        <f>HLOOKUP(D$2,Models_Results!$B:$AP,$AC51,FALSE)</f>
        <v>0.74399999999999999</v>
      </c>
      <c r="E51">
        <f>HLOOKUP(E$2,Models_Results!$B:$AP,$AC51,FALSE)</f>
        <v>1.865</v>
      </c>
      <c r="F51">
        <f>HLOOKUP(F$2,Models_Results!$B:$AP,$AC51,FALSE)</f>
        <v>1.5620000000000001</v>
      </c>
      <c r="G51">
        <f>HLOOKUP(G$2,Models_Results!$B:$AP,$AC51,FALSE)</f>
        <v>0.73699999999999999</v>
      </c>
      <c r="H51">
        <f>HLOOKUP(H$2,Models_Results!$B:$AP,$AC51,FALSE)</f>
        <v>2.09</v>
      </c>
      <c r="I51">
        <f>HLOOKUP(I$2,Models_Results!$B:$AP,$AC51,FALSE)</f>
        <v>1.5389999999999999</v>
      </c>
      <c r="J51">
        <f>HLOOKUP(J$2,Models_Results!$B:$AP,$AC51,FALSE)</f>
        <v>1.6759999999999999</v>
      </c>
      <c r="K51">
        <f>HLOOKUP(K$2,Models_Results!$B:$AP,$AC51,FALSE)</f>
        <v>1.5960000000000001</v>
      </c>
      <c r="N51" s="34">
        <f>HLOOKUP(N$2,Models_Results!$B:$AP,$AC51,FALSE)</f>
        <v>2.8769999999999998</v>
      </c>
      <c r="O51" s="34">
        <f>HLOOKUP(O$2,Models_Results!$B:$AP,$AC51,FALSE)</f>
        <v>1.9279999999999999</v>
      </c>
      <c r="P51" s="34">
        <f>HLOOKUP(P$2,Models_Results!$B:$AP,$AC51,FALSE)</f>
        <v>4.5979999999999999</v>
      </c>
      <c r="Q51" s="34">
        <f>HLOOKUP(Q$2,Models_Results!$B:$AP,$AC51,FALSE)</f>
        <v>2.2850000000000001</v>
      </c>
      <c r="R51" s="34">
        <f>HLOOKUP(R$2,Models_Results!$B:$AP,$AC51,FALSE)</f>
        <v>3.4609999999999999</v>
      </c>
      <c r="S51" s="34">
        <f>HLOOKUP(S$2,Models_Results!$B:$AP,$AC51,FALSE)</f>
        <v>2.016</v>
      </c>
      <c r="T51" s="34">
        <f>HLOOKUP(T$2,Models_Results!$B:$AP,$AC51,FALSE)</f>
        <v>2.8769999999999998</v>
      </c>
      <c r="U51" s="34">
        <f>HLOOKUP(U$2,Models_Results!$B:$AP,$AC51,FALSE)</f>
        <v>1.9279999999999999</v>
      </c>
      <c r="V51" s="34">
        <f>HLOOKUP(V$2,Models_Results!$B:$AP,$AC51,FALSE)</f>
        <v>5.13</v>
      </c>
      <c r="W51" s="34">
        <f>HLOOKUP(W$2,Models_Results!$B:$AP,$AC51,FALSE)</f>
        <v>2.4260000000000002</v>
      </c>
      <c r="X51" s="34">
        <f>HLOOKUP(X$2,Models_Results!$B:$AP,$AC51,FALSE)</f>
        <v>3.6549999999999998</v>
      </c>
      <c r="Y51" s="34">
        <f>HLOOKUP(Y$2,Models_Results!$B:$AP,$AC51,FALSE)</f>
        <v>2.052</v>
      </c>
      <c r="AC51">
        <v>48</v>
      </c>
    </row>
    <row r="52" spans="1:29" x14ac:dyDescent="0.2">
      <c r="A52">
        <f t="shared" si="0"/>
        <v>2036.75</v>
      </c>
      <c r="C52">
        <f>HLOOKUP(C$2,Models_Results!$B:$AP,$AC52,FALSE)</f>
        <v>1.4019999999999999</v>
      </c>
      <c r="D52">
        <f>HLOOKUP(D$2,Models_Results!$B:$AP,$AC52,FALSE)</f>
        <v>0.79200000000000004</v>
      </c>
      <c r="E52">
        <f>HLOOKUP(E$2,Models_Results!$B:$AP,$AC52,FALSE)</f>
        <v>1.9059999999999999</v>
      </c>
      <c r="F52">
        <f>HLOOKUP(F$2,Models_Results!$B:$AP,$AC52,FALSE)</f>
        <v>1.593</v>
      </c>
      <c r="G52">
        <f>HLOOKUP(G$2,Models_Results!$B:$AP,$AC52,FALSE)</f>
        <v>0.79500000000000004</v>
      </c>
      <c r="H52">
        <f>HLOOKUP(H$2,Models_Results!$B:$AP,$AC52,FALSE)</f>
        <v>2.1509999999999998</v>
      </c>
      <c r="I52">
        <f>HLOOKUP(I$2,Models_Results!$B:$AP,$AC52,FALSE)</f>
        <v>1.589</v>
      </c>
      <c r="J52">
        <f>HLOOKUP(J$2,Models_Results!$B:$AP,$AC52,FALSE)</f>
        <v>1.7929999999999999</v>
      </c>
      <c r="K52">
        <f>HLOOKUP(K$2,Models_Results!$B:$AP,$AC52,FALSE)</f>
        <v>1.5720000000000001</v>
      </c>
      <c r="N52" s="34">
        <f>HLOOKUP(N$2,Models_Results!$B:$AP,$AC52,FALSE)</f>
        <v>2.911</v>
      </c>
      <c r="O52" s="34">
        <f>HLOOKUP(O$2,Models_Results!$B:$AP,$AC52,FALSE)</f>
        <v>2.016</v>
      </c>
      <c r="P52" s="34">
        <f>HLOOKUP(P$2,Models_Results!$B:$AP,$AC52,FALSE)</f>
        <v>4.6959999999999997</v>
      </c>
      <c r="Q52" s="34">
        <f>HLOOKUP(Q$2,Models_Results!$B:$AP,$AC52,FALSE)</f>
        <v>2.44</v>
      </c>
      <c r="R52" s="34">
        <f>HLOOKUP(R$2,Models_Results!$B:$AP,$AC52,FALSE)</f>
        <v>3.5219999999999998</v>
      </c>
      <c r="S52" s="34">
        <f>HLOOKUP(S$2,Models_Results!$B:$AP,$AC52,FALSE)</f>
        <v>2.1240000000000001</v>
      </c>
      <c r="T52" s="34">
        <f>HLOOKUP(T$2,Models_Results!$B:$AP,$AC52,FALSE)</f>
        <v>2.911</v>
      </c>
      <c r="U52" s="34">
        <f>HLOOKUP(U$2,Models_Results!$B:$AP,$AC52,FALSE)</f>
        <v>2.016</v>
      </c>
      <c r="V52" s="34">
        <f>HLOOKUP(V$2,Models_Results!$B:$AP,$AC52,FALSE)</f>
        <v>5.2469999999999999</v>
      </c>
      <c r="W52" s="34">
        <f>HLOOKUP(W$2,Models_Results!$B:$AP,$AC52,FALSE)</f>
        <v>2.6030000000000002</v>
      </c>
      <c r="X52" s="34">
        <f>HLOOKUP(X$2,Models_Results!$B:$AP,$AC52,FALSE)</f>
        <v>3.7250000000000001</v>
      </c>
      <c r="Y52" s="34">
        <f>HLOOKUP(Y$2,Models_Results!$B:$AP,$AC52,FALSE)</f>
        <v>2.1669999999999998</v>
      </c>
      <c r="AC52">
        <v>49</v>
      </c>
    </row>
    <row r="53" spans="1:29" x14ac:dyDescent="0.2">
      <c r="A53">
        <f t="shared" si="0"/>
        <v>2037</v>
      </c>
      <c r="C53">
        <f>HLOOKUP(C$2,Models_Results!$B:$AP,$AC53,FALSE)</f>
        <v>1.4239999999999999</v>
      </c>
      <c r="D53">
        <f>HLOOKUP(D$2,Models_Results!$B:$AP,$AC53,FALSE)</f>
        <v>0.84</v>
      </c>
      <c r="E53">
        <f>HLOOKUP(E$2,Models_Results!$B:$AP,$AC53,FALSE)</f>
        <v>1.946</v>
      </c>
      <c r="F53">
        <f>HLOOKUP(F$2,Models_Results!$B:$AP,$AC53,FALSE)</f>
        <v>1.623</v>
      </c>
      <c r="G53">
        <f>HLOOKUP(G$2,Models_Results!$B:$AP,$AC53,FALSE)</f>
        <v>0.85399999999999998</v>
      </c>
      <c r="H53">
        <f>HLOOKUP(H$2,Models_Results!$B:$AP,$AC53,FALSE)</f>
        <v>2.2120000000000002</v>
      </c>
      <c r="I53">
        <f>HLOOKUP(I$2,Models_Results!$B:$AP,$AC53,FALSE)</f>
        <v>1.6379999999999999</v>
      </c>
      <c r="J53">
        <f>HLOOKUP(J$2,Models_Results!$B:$AP,$AC53,FALSE)</f>
        <v>1.9079999999999999</v>
      </c>
      <c r="K53">
        <f>HLOOKUP(K$2,Models_Results!$B:$AP,$AC53,FALSE)</f>
        <v>1.55</v>
      </c>
      <c r="N53" s="34">
        <f>HLOOKUP(N$2,Models_Results!$B:$AP,$AC53,FALSE)</f>
        <v>2.9430000000000001</v>
      </c>
      <c r="O53" s="34">
        <f>HLOOKUP(O$2,Models_Results!$B:$AP,$AC53,FALSE)</f>
        <v>2.1040000000000001</v>
      </c>
      <c r="P53" s="34">
        <f>HLOOKUP(P$2,Models_Results!$B:$AP,$AC53,FALSE)</f>
        <v>4.7910000000000004</v>
      </c>
      <c r="Q53" s="34">
        <f>HLOOKUP(Q$2,Models_Results!$B:$AP,$AC53,FALSE)</f>
        <v>2.5990000000000002</v>
      </c>
      <c r="R53" s="34">
        <f>HLOOKUP(R$2,Models_Results!$B:$AP,$AC53,FALSE)</f>
        <v>3.5830000000000002</v>
      </c>
      <c r="S53" s="34">
        <f>HLOOKUP(S$2,Models_Results!$B:$AP,$AC53,FALSE)</f>
        <v>2.2330000000000001</v>
      </c>
      <c r="T53" s="34">
        <f>HLOOKUP(T$2,Models_Results!$B:$AP,$AC53,FALSE)</f>
        <v>2.9430000000000001</v>
      </c>
      <c r="U53" s="34">
        <f>HLOOKUP(U$2,Models_Results!$B:$AP,$AC53,FALSE)</f>
        <v>2.1040000000000001</v>
      </c>
      <c r="V53" s="34">
        <f>HLOOKUP(V$2,Models_Results!$B:$AP,$AC53,FALSE)</f>
        <v>5.36</v>
      </c>
      <c r="W53" s="34">
        <f>HLOOKUP(W$2,Models_Results!$B:$AP,$AC53,FALSE)</f>
        <v>2.7839999999999998</v>
      </c>
      <c r="X53" s="34">
        <f>HLOOKUP(X$2,Models_Results!$B:$AP,$AC53,FALSE)</f>
        <v>3.7949999999999999</v>
      </c>
      <c r="Y53" s="34">
        <f>HLOOKUP(Y$2,Models_Results!$B:$AP,$AC53,FALSE)</f>
        <v>2.2829999999999999</v>
      </c>
      <c r="AC53">
        <v>50</v>
      </c>
    </row>
    <row r="54" spans="1:29" x14ac:dyDescent="0.2">
      <c r="A54">
        <f t="shared" si="0"/>
        <v>2037.25</v>
      </c>
      <c r="C54">
        <f>HLOOKUP(C$2,Models_Results!$B:$AP,$AC54,FALSE)</f>
        <v>1.4450000000000001</v>
      </c>
      <c r="D54">
        <f>HLOOKUP(D$2,Models_Results!$B:$AP,$AC54,FALSE)</f>
        <v>0.88900000000000001</v>
      </c>
      <c r="E54">
        <f>HLOOKUP(E$2,Models_Results!$B:$AP,$AC54,FALSE)</f>
        <v>1.9850000000000001</v>
      </c>
      <c r="F54">
        <f>HLOOKUP(F$2,Models_Results!$B:$AP,$AC54,FALSE)</f>
        <v>1.653</v>
      </c>
      <c r="G54">
        <f>HLOOKUP(G$2,Models_Results!$B:$AP,$AC54,FALSE)</f>
        <v>0.91500000000000004</v>
      </c>
      <c r="H54">
        <f>HLOOKUP(H$2,Models_Results!$B:$AP,$AC54,FALSE)</f>
        <v>2.2709999999999999</v>
      </c>
      <c r="I54">
        <f>HLOOKUP(I$2,Models_Results!$B:$AP,$AC54,FALSE)</f>
        <v>1.6859999999999999</v>
      </c>
      <c r="J54">
        <f>HLOOKUP(J$2,Models_Results!$B:$AP,$AC54,FALSE)</f>
        <v>2.0209999999999999</v>
      </c>
      <c r="K54">
        <f>HLOOKUP(K$2,Models_Results!$B:$AP,$AC54,FALSE)</f>
        <v>1.528</v>
      </c>
      <c r="N54" s="34">
        <f>HLOOKUP(N$2,Models_Results!$B:$AP,$AC54,FALSE)</f>
        <v>2.9740000000000002</v>
      </c>
      <c r="O54" s="34">
        <f>HLOOKUP(O$2,Models_Results!$B:$AP,$AC54,FALSE)</f>
        <v>2.1909999999999998</v>
      </c>
      <c r="P54" s="34">
        <f>HLOOKUP(P$2,Models_Results!$B:$AP,$AC54,FALSE)</f>
        <v>4.8840000000000003</v>
      </c>
      <c r="Q54" s="34">
        <f>HLOOKUP(Q$2,Models_Results!$B:$AP,$AC54,FALSE)</f>
        <v>2.76</v>
      </c>
      <c r="R54" s="34">
        <f>HLOOKUP(R$2,Models_Results!$B:$AP,$AC54,FALSE)</f>
        <v>3.6429999999999998</v>
      </c>
      <c r="S54" s="34">
        <f>HLOOKUP(S$2,Models_Results!$B:$AP,$AC54,FALSE)</f>
        <v>2.343</v>
      </c>
      <c r="T54" s="34">
        <f>HLOOKUP(T$2,Models_Results!$B:$AP,$AC54,FALSE)</f>
        <v>2.9740000000000002</v>
      </c>
      <c r="U54" s="34">
        <f>HLOOKUP(U$2,Models_Results!$B:$AP,$AC54,FALSE)</f>
        <v>2.1909999999999998</v>
      </c>
      <c r="V54" s="34">
        <f>HLOOKUP(V$2,Models_Results!$B:$AP,$AC54,FALSE)</f>
        <v>5.47</v>
      </c>
      <c r="W54" s="34">
        <f>HLOOKUP(W$2,Models_Results!$B:$AP,$AC54,FALSE)</f>
        <v>2.9689999999999999</v>
      </c>
      <c r="X54" s="34">
        <f>HLOOKUP(X$2,Models_Results!$B:$AP,$AC54,FALSE)</f>
        <v>3.863</v>
      </c>
      <c r="Y54" s="34">
        <f>HLOOKUP(Y$2,Models_Results!$B:$AP,$AC54,FALSE)</f>
        <v>2.4</v>
      </c>
      <c r="AC54">
        <v>51</v>
      </c>
    </row>
    <row r="55" spans="1:29" x14ac:dyDescent="0.2">
      <c r="A55">
        <f t="shared" si="0"/>
        <v>2037.5</v>
      </c>
      <c r="C55">
        <f>HLOOKUP(C$2,Models_Results!$B:$AP,$AC55,FALSE)</f>
        <v>1.466</v>
      </c>
      <c r="D55">
        <f>HLOOKUP(D$2,Models_Results!$B:$AP,$AC55,FALSE)</f>
        <v>0.93700000000000006</v>
      </c>
      <c r="E55">
        <f>HLOOKUP(E$2,Models_Results!$B:$AP,$AC55,FALSE)</f>
        <v>2.0230000000000001</v>
      </c>
      <c r="F55">
        <f>HLOOKUP(F$2,Models_Results!$B:$AP,$AC55,FALSE)</f>
        <v>1.6830000000000001</v>
      </c>
      <c r="G55">
        <f>HLOOKUP(G$2,Models_Results!$B:$AP,$AC55,FALSE)</f>
        <v>0.97499999999999998</v>
      </c>
      <c r="H55">
        <f>HLOOKUP(H$2,Models_Results!$B:$AP,$AC55,FALSE)</f>
        <v>2.33</v>
      </c>
      <c r="I55">
        <f>HLOOKUP(I$2,Models_Results!$B:$AP,$AC55,FALSE)</f>
        <v>1.7350000000000001</v>
      </c>
      <c r="J55">
        <f>HLOOKUP(J$2,Models_Results!$B:$AP,$AC55,FALSE)</f>
        <v>2.1320000000000001</v>
      </c>
      <c r="K55">
        <f>HLOOKUP(K$2,Models_Results!$B:$AP,$AC55,FALSE)</f>
        <v>1.508</v>
      </c>
      <c r="N55" s="34">
        <f>HLOOKUP(N$2,Models_Results!$B:$AP,$AC55,FALSE)</f>
        <v>3.0049999999999999</v>
      </c>
      <c r="O55" s="34">
        <f>HLOOKUP(O$2,Models_Results!$B:$AP,$AC55,FALSE)</f>
        <v>2.2770000000000001</v>
      </c>
      <c r="P55" s="34">
        <f>HLOOKUP(P$2,Models_Results!$B:$AP,$AC55,FALSE)</f>
        <v>4.9729999999999999</v>
      </c>
      <c r="Q55" s="34">
        <f>HLOOKUP(Q$2,Models_Results!$B:$AP,$AC55,FALSE)</f>
        <v>2.923</v>
      </c>
      <c r="R55" s="34">
        <f>HLOOKUP(R$2,Models_Results!$B:$AP,$AC55,FALSE)</f>
        <v>3.702</v>
      </c>
      <c r="S55" s="34">
        <f>HLOOKUP(S$2,Models_Results!$B:$AP,$AC55,FALSE)</f>
        <v>2.4529999999999998</v>
      </c>
      <c r="T55" s="34">
        <f>HLOOKUP(T$2,Models_Results!$B:$AP,$AC55,FALSE)</f>
        <v>3.0049999999999999</v>
      </c>
      <c r="U55" s="34">
        <f>HLOOKUP(U$2,Models_Results!$B:$AP,$AC55,FALSE)</f>
        <v>2.2770000000000001</v>
      </c>
      <c r="V55" s="34">
        <f>HLOOKUP(V$2,Models_Results!$B:$AP,$AC55,FALSE)</f>
        <v>5.5759999999999996</v>
      </c>
      <c r="W55" s="34">
        <f>HLOOKUP(W$2,Models_Results!$B:$AP,$AC55,FALSE)</f>
        <v>3.1560000000000001</v>
      </c>
      <c r="X55" s="34">
        <f>HLOOKUP(X$2,Models_Results!$B:$AP,$AC55,FALSE)</f>
        <v>3.931</v>
      </c>
      <c r="Y55" s="34">
        <f>HLOOKUP(Y$2,Models_Results!$B:$AP,$AC55,FALSE)</f>
        <v>2.5179999999999998</v>
      </c>
      <c r="AC55">
        <v>52</v>
      </c>
    </row>
    <row r="56" spans="1:29" x14ac:dyDescent="0.2">
      <c r="A56">
        <f t="shared" si="0"/>
        <v>2037.75</v>
      </c>
      <c r="C56">
        <f>HLOOKUP(C$2,Models_Results!$B:$AP,$AC56,FALSE)</f>
        <v>1.4870000000000001</v>
      </c>
      <c r="D56">
        <f>HLOOKUP(D$2,Models_Results!$B:$AP,$AC56,FALSE)</f>
        <v>0.98699999999999999</v>
      </c>
      <c r="E56">
        <f>HLOOKUP(E$2,Models_Results!$B:$AP,$AC56,FALSE)</f>
        <v>2.06</v>
      </c>
      <c r="F56">
        <f>HLOOKUP(F$2,Models_Results!$B:$AP,$AC56,FALSE)</f>
        <v>1.7110000000000001</v>
      </c>
      <c r="G56">
        <f>HLOOKUP(G$2,Models_Results!$B:$AP,$AC56,FALSE)</f>
        <v>1.0369999999999999</v>
      </c>
      <c r="H56">
        <f>HLOOKUP(H$2,Models_Results!$B:$AP,$AC56,FALSE)</f>
        <v>2.387</v>
      </c>
      <c r="I56">
        <f>HLOOKUP(I$2,Models_Results!$B:$AP,$AC56,FALSE)</f>
        <v>1.7829999999999999</v>
      </c>
      <c r="J56">
        <f>HLOOKUP(J$2,Models_Results!$B:$AP,$AC56,FALSE)</f>
        <v>2.2400000000000002</v>
      </c>
      <c r="K56">
        <f>HLOOKUP(K$2,Models_Results!$B:$AP,$AC56,FALSE)</f>
        <v>1.4890000000000001</v>
      </c>
      <c r="N56" s="34">
        <f>HLOOKUP(N$2,Models_Results!$B:$AP,$AC56,FALSE)</f>
        <v>3.0339999999999998</v>
      </c>
      <c r="O56" s="34">
        <f>HLOOKUP(O$2,Models_Results!$B:$AP,$AC56,FALSE)</f>
        <v>2.363</v>
      </c>
      <c r="P56" s="34">
        <f>HLOOKUP(P$2,Models_Results!$B:$AP,$AC56,FALSE)</f>
        <v>5.0590000000000002</v>
      </c>
      <c r="Q56" s="34">
        <f>HLOOKUP(Q$2,Models_Results!$B:$AP,$AC56,FALSE)</f>
        <v>3.089</v>
      </c>
      <c r="R56" s="34">
        <f>HLOOKUP(R$2,Models_Results!$B:$AP,$AC56,FALSE)</f>
        <v>3.76</v>
      </c>
      <c r="S56" s="34">
        <f>HLOOKUP(S$2,Models_Results!$B:$AP,$AC56,FALSE)</f>
        <v>2.5630000000000002</v>
      </c>
      <c r="T56" s="34">
        <f>HLOOKUP(T$2,Models_Results!$B:$AP,$AC56,FALSE)</f>
        <v>3.0339999999999998</v>
      </c>
      <c r="U56" s="34">
        <f>HLOOKUP(U$2,Models_Results!$B:$AP,$AC56,FALSE)</f>
        <v>2.363</v>
      </c>
      <c r="V56" s="34">
        <f>HLOOKUP(V$2,Models_Results!$B:$AP,$AC56,FALSE)</f>
        <v>5.6779999999999999</v>
      </c>
      <c r="W56" s="34">
        <f>HLOOKUP(W$2,Models_Results!$B:$AP,$AC56,FALSE)</f>
        <v>3.347</v>
      </c>
      <c r="X56" s="34">
        <f>HLOOKUP(X$2,Models_Results!$B:$AP,$AC56,FALSE)</f>
        <v>3.9990000000000001</v>
      </c>
      <c r="Y56" s="34">
        <f>HLOOKUP(Y$2,Models_Results!$B:$AP,$AC56,FALSE)</f>
        <v>2.637</v>
      </c>
      <c r="AC56">
        <v>53</v>
      </c>
    </row>
    <row r="57" spans="1:29" x14ac:dyDescent="0.2">
      <c r="A57">
        <f t="shared" si="0"/>
        <v>2038</v>
      </c>
      <c r="C57">
        <f>HLOOKUP(C$2,Models_Results!$B:$AP,$AC57,FALSE)</f>
        <v>1.5069999999999999</v>
      </c>
      <c r="D57">
        <f>HLOOKUP(D$2,Models_Results!$B:$AP,$AC57,FALSE)</f>
        <v>1.036</v>
      </c>
      <c r="E57">
        <f>HLOOKUP(E$2,Models_Results!$B:$AP,$AC57,FALSE)</f>
        <v>2.097</v>
      </c>
      <c r="F57">
        <f>HLOOKUP(F$2,Models_Results!$B:$AP,$AC57,FALSE)</f>
        <v>1.74</v>
      </c>
      <c r="G57">
        <f>HLOOKUP(G$2,Models_Results!$B:$AP,$AC57,FALSE)</f>
        <v>1.099</v>
      </c>
      <c r="H57">
        <f>HLOOKUP(H$2,Models_Results!$B:$AP,$AC57,FALSE)</f>
        <v>2.444</v>
      </c>
      <c r="I57">
        <f>HLOOKUP(I$2,Models_Results!$B:$AP,$AC57,FALSE)</f>
        <v>1.831</v>
      </c>
      <c r="J57">
        <f>HLOOKUP(J$2,Models_Results!$B:$AP,$AC57,FALSE)</f>
        <v>2.3460000000000001</v>
      </c>
      <c r="K57">
        <f>HLOOKUP(K$2,Models_Results!$B:$AP,$AC57,FALSE)</f>
        <v>1.47</v>
      </c>
      <c r="N57" s="34">
        <f>HLOOKUP(N$2,Models_Results!$B:$AP,$AC57,FALSE)</f>
        <v>3.0619999999999998</v>
      </c>
      <c r="O57" s="34">
        <f>HLOOKUP(O$2,Models_Results!$B:$AP,$AC57,FALSE)</f>
        <v>2.4489999999999998</v>
      </c>
      <c r="P57" s="34">
        <f>HLOOKUP(P$2,Models_Results!$B:$AP,$AC57,FALSE)</f>
        <v>5.1429999999999998</v>
      </c>
      <c r="Q57" s="34">
        <f>HLOOKUP(Q$2,Models_Results!$B:$AP,$AC57,FALSE)</f>
        <v>3.2559999999999998</v>
      </c>
      <c r="R57" s="34">
        <f>HLOOKUP(R$2,Models_Results!$B:$AP,$AC57,FALSE)</f>
        <v>3.8180000000000001</v>
      </c>
      <c r="S57" s="34">
        <f>HLOOKUP(S$2,Models_Results!$B:$AP,$AC57,FALSE)</f>
        <v>2.6739999999999999</v>
      </c>
      <c r="T57" s="34">
        <f>HLOOKUP(T$2,Models_Results!$B:$AP,$AC57,FALSE)</f>
        <v>3.0619999999999998</v>
      </c>
      <c r="U57" s="34">
        <f>HLOOKUP(U$2,Models_Results!$B:$AP,$AC57,FALSE)</f>
        <v>2.4489999999999998</v>
      </c>
      <c r="V57" s="34">
        <f>HLOOKUP(V$2,Models_Results!$B:$AP,$AC57,FALSE)</f>
        <v>5.7779999999999996</v>
      </c>
      <c r="W57" s="34">
        <f>HLOOKUP(W$2,Models_Results!$B:$AP,$AC57,FALSE)</f>
        <v>3.5390000000000001</v>
      </c>
      <c r="X57" s="34">
        <f>HLOOKUP(X$2,Models_Results!$B:$AP,$AC57,FALSE)</f>
        <v>4.0659999999999998</v>
      </c>
      <c r="Y57" s="34">
        <f>HLOOKUP(Y$2,Models_Results!$B:$AP,$AC57,FALSE)</f>
        <v>2.7570000000000001</v>
      </c>
      <c r="AC57">
        <v>54</v>
      </c>
    </row>
    <row r="58" spans="1:29" x14ac:dyDescent="0.2">
      <c r="A58">
        <f t="shared" si="0"/>
        <v>2038.25</v>
      </c>
      <c r="C58">
        <f>HLOOKUP(C$2,Models_Results!$B:$AP,$AC58,FALSE)</f>
        <v>1.5269999999999999</v>
      </c>
      <c r="D58">
        <f>HLOOKUP(D$2,Models_Results!$B:$AP,$AC58,FALSE)</f>
        <v>1.085</v>
      </c>
      <c r="E58">
        <f>HLOOKUP(E$2,Models_Results!$B:$AP,$AC58,FALSE)</f>
        <v>2.133</v>
      </c>
      <c r="F58">
        <f>HLOOKUP(F$2,Models_Results!$B:$AP,$AC58,FALSE)</f>
        <v>1.7669999999999999</v>
      </c>
      <c r="G58">
        <f>HLOOKUP(G$2,Models_Results!$B:$AP,$AC58,FALSE)</f>
        <v>1.1619999999999999</v>
      </c>
      <c r="H58">
        <f>HLOOKUP(H$2,Models_Results!$B:$AP,$AC58,FALSE)</f>
        <v>2.5</v>
      </c>
      <c r="I58">
        <f>HLOOKUP(I$2,Models_Results!$B:$AP,$AC58,FALSE)</f>
        <v>1.879</v>
      </c>
      <c r="J58">
        <f>HLOOKUP(J$2,Models_Results!$B:$AP,$AC58,FALSE)</f>
        <v>2.4510000000000001</v>
      </c>
      <c r="K58">
        <f>HLOOKUP(K$2,Models_Results!$B:$AP,$AC58,FALSE)</f>
        <v>1.4530000000000001</v>
      </c>
      <c r="N58" s="34">
        <f>HLOOKUP(N$2,Models_Results!$B:$AP,$AC58,FALSE)</f>
        <v>3.09</v>
      </c>
      <c r="O58" s="34">
        <f>HLOOKUP(O$2,Models_Results!$B:$AP,$AC58,FALSE)</f>
        <v>2.5339999999999998</v>
      </c>
      <c r="P58" s="34">
        <f>HLOOKUP(P$2,Models_Results!$B:$AP,$AC58,FALSE)</f>
        <v>5.2240000000000002</v>
      </c>
      <c r="Q58" s="34">
        <f>HLOOKUP(Q$2,Models_Results!$B:$AP,$AC58,FALSE)</f>
        <v>3.4249999999999998</v>
      </c>
      <c r="R58" s="34">
        <f>HLOOKUP(R$2,Models_Results!$B:$AP,$AC58,FALSE)</f>
        <v>3.875</v>
      </c>
      <c r="S58" s="34">
        <f>HLOOKUP(S$2,Models_Results!$B:$AP,$AC58,FALSE)</f>
        <v>2.786</v>
      </c>
      <c r="T58" s="34">
        <f>HLOOKUP(T$2,Models_Results!$B:$AP,$AC58,FALSE)</f>
        <v>3.09</v>
      </c>
      <c r="U58" s="34">
        <f>HLOOKUP(U$2,Models_Results!$B:$AP,$AC58,FALSE)</f>
        <v>2.5339999999999998</v>
      </c>
      <c r="V58" s="34">
        <f>HLOOKUP(V$2,Models_Results!$B:$AP,$AC58,FALSE)</f>
        <v>5.8739999999999997</v>
      </c>
      <c r="W58" s="34">
        <f>HLOOKUP(W$2,Models_Results!$B:$AP,$AC58,FALSE)</f>
        <v>3.734</v>
      </c>
      <c r="X58" s="34">
        <f>HLOOKUP(X$2,Models_Results!$B:$AP,$AC58,FALSE)</f>
        <v>4.1319999999999997</v>
      </c>
      <c r="Y58" s="34">
        <f>HLOOKUP(Y$2,Models_Results!$B:$AP,$AC58,FALSE)</f>
        <v>2.8769999999999998</v>
      </c>
      <c r="AC58">
        <v>55</v>
      </c>
    </row>
    <row r="59" spans="1:29" x14ac:dyDescent="0.2">
      <c r="A59">
        <f t="shared" si="0"/>
        <v>2038.5</v>
      </c>
      <c r="C59">
        <f>HLOOKUP(C$2,Models_Results!$B:$AP,$AC59,FALSE)</f>
        <v>1.5469999999999999</v>
      </c>
      <c r="D59">
        <f>HLOOKUP(D$2,Models_Results!$B:$AP,$AC59,FALSE)</f>
        <v>1.135</v>
      </c>
      <c r="E59">
        <f>HLOOKUP(E$2,Models_Results!$B:$AP,$AC59,FALSE)</f>
        <v>2.1680000000000001</v>
      </c>
      <c r="F59">
        <f>HLOOKUP(F$2,Models_Results!$B:$AP,$AC59,FALSE)</f>
        <v>1.7949999999999999</v>
      </c>
      <c r="G59">
        <f>HLOOKUP(G$2,Models_Results!$B:$AP,$AC59,FALSE)</f>
        <v>1.2250000000000001</v>
      </c>
      <c r="H59">
        <f>HLOOKUP(H$2,Models_Results!$B:$AP,$AC59,FALSE)</f>
        <v>2.5539999999999998</v>
      </c>
      <c r="I59">
        <f>HLOOKUP(I$2,Models_Results!$B:$AP,$AC59,FALSE)</f>
        <v>1.9259999999999999</v>
      </c>
      <c r="J59">
        <f>HLOOKUP(J$2,Models_Results!$B:$AP,$AC59,FALSE)</f>
        <v>2.5529999999999999</v>
      </c>
      <c r="K59">
        <f>HLOOKUP(K$2,Models_Results!$B:$AP,$AC59,FALSE)</f>
        <v>1.4359999999999999</v>
      </c>
      <c r="N59" s="34">
        <f>HLOOKUP(N$2,Models_Results!$B:$AP,$AC59,FALSE)</f>
        <v>3.1160000000000001</v>
      </c>
      <c r="O59" s="34">
        <f>HLOOKUP(O$2,Models_Results!$B:$AP,$AC59,FALSE)</f>
        <v>2.6179999999999999</v>
      </c>
      <c r="P59" s="34">
        <f>HLOOKUP(P$2,Models_Results!$B:$AP,$AC59,FALSE)</f>
        <v>5.3019999999999996</v>
      </c>
      <c r="Q59" s="34">
        <f>HLOOKUP(Q$2,Models_Results!$B:$AP,$AC59,FALSE)</f>
        <v>3.5939999999999999</v>
      </c>
      <c r="R59" s="34">
        <f>HLOOKUP(R$2,Models_Results!$B:$AP,$AC59,FALSE)</f>
        <v>3.931</v>
      </c>
      <c r="S59" s="34">
        <f>HLOOKUP(S$2,Models_Results!$B:$AP,$AC59,FALSE)</f>
        <v>2.8969999999999998</v>
      </c>
      <c r="T59" s="34">
        <f>HLOOKUP(T$2,Models_Results!$B:$AP,$AC59,FALSE)</f>
        <v>3.1160000000000001</v>
      </c>
      <c r="U59" s="34">
        <f>HLOOKUP(U$2,Models_Results!$B:$AP,$AC59,FALSE)</f>
        <v>2.6179999999999999</v>
      </c>
      <c r="V59" s="34">
        <f>HLOOKUP(V$2,Models_Results!$B:$AP,$AC59,FALSE)</f>
        <v>5.9669999999999996</v>
      </c>
      <c r="W59" s="34">
        <f>HLOOKUP(W$2,Models_Results!$B:$AP,$AC59,FALSE)</f>
        <v>3.93</v>
      </c>
      <c r="X59" s="34">
        <f>HLOOKUP(X$2,Models_Results!$B:$AP,$AC59,FALSE)</f>
        <v>4.1980000000000004</v>
      </c>
      <c r="Y59" s="34">
        <f>HLOOKUP(Y$2,Models_Results!$B:$AP,$AC59,FALSE)</f>
        <v>2.9980000000000002</v>
      </c>
      <c r="AC59">
        <v>56</v>
      </c>
    </row>
    <row r="60" spans="1:29" x14ac:dyDescent="0.2">
      <c r="A60">
        <f t="shared" si="0"/>
        <v>2038.75</v>
      </c>
      <c r="C60">
        <f>HLOOKUP(C$2,Models_Results!$B:$AP,$AC60,FALSE)</f>
        <v>1.5660000000000001</v>
      </c>
      <c r="D60">
        <f>HLOOKUP(D$2,Models_Results!$B:$AP,$AC60,FALSE)</f>
        <v>1.1850000000000001</v>
      </c>
      <c r="E60">
        <f>HLOOKUP(E$2,Models_Results!$B:$AP,$AC60,FALSE)</f>
        <v>2.2029999999999998</v>
      </c>
      <c r="F60">
        <f>HLOOKUP(F$2,Models_Results!$B:$AP,$AC60,FALSE)</f>
        <v>1.821</v>
      </c>
      <c r="G60">
        <f>HLOOKUP(G$2,Models_Results!$B:$AP,$AC60,FALSE)</f>
        <v>1.2889999999999999</v>
      </c>
      <c r="H60">
        <f>HLOOKUP(H$2,Models_Results!$B:$AP,$AC60,FALSE)</f>
        <v>2.6080000000000001</v>
      </c>
      <c r="I60">
        <f>HLOOKUP(I$2,Models_Results!$B:$AP,$AC60,FALSE)</f>
        <v>1.9730000000000001</v>
      </c>
      <c r="J60">
        <f>HLOOKUP(J$2,Models_Results!$B:$AP,$AC60,FALSE)</f>
        <v>2.6539999999999999</v>
      </c>
      <c r="K60">
        <f>HLOOKUP(K$2,Models_Results!$B:$AP,$AC60,FALSE)</f>
        <v>1.42</v>
      </c>
      <c r="N60" s="34">
        <f>HLOOKUP(N$2,Models_Results!$B:$AP,$AC60,FALSE)</f>
        <v>3.1419999999999999</v>
      </c>
      <c r="O60" s="34">
        <f>HLOOKUP(O$2,Models_Results!$B:$AP,$AC60,FALSE)</f>
        <v>2.702</v>
      </c>
      <c r="P60" s="34">
        <f>HLOOKUP(P$2,Models_Results!$B:$AP,$AC60,FALSE)</f>
        <v>5.3780000000000001</v>
      </c>
      <c r="Q60" s="34">
        <f>HLOOKUP(Q$2,Models_Results!$B:$AP,$AC60,FALSE)</f>
        <v>3.7650000000000001</v>
      </c>
      <c r="R60" s="34">
        <f>HLOOKUP(R$2,Models_Results!$B:$AP,$AC60,FALSE)</f>
        <v>3.9870000000000001</v>
      </c>
      <c r="S60" s="34">
        <f>HLOOKUP(S$2,Models_Results!$B:$AP,$AC60,FALSE)</f>
        <v>3.0089999999999999</v>
      </c>
      <c r="T60" s="34">
        <f>HLOOKUP(T$2,Models_Results!$B:$AP,$AC60,FALSE)</f>
        <v>3.1419999999999999</v>
      </c>
      <c r="U60" s="34">
        <f>HLOOKUP(U$2,Models_Results!$B:$AP,$AC60,FALSE)</f>
        <v>2.702</v>
      </c>
      <c r="V60" s="34">
        <f>HLOOKUP(V$2,Models_Results!$B:$AP,$AC60,FALSE)</f>
        <v>6.0570000000000004</v>
      </c>
      <c r="W60" s="34">
        <f>HLOOKUP(W$2,Models_Results!$B:$AP,$AC60,FALSE)</f>
        <v>4.1280000000000001</v>
      </c>
      <c r="X60" s="34">
        <f>HLOOKUP(X$2,Models_Results!$B:$AP,$AC60,FALSE)</f>
        <v>4.2629999999999999</v>
      </c>
      <c r="Y60" s="34">
        <f>HLOOKUP(Y$2,Models_Results!$B:$AP,$AC60,FALSE)</f>
        <v>3.12</v>
      </c>
      <c r="AC60">
        <v>57</v>
      </c>
    </row>
    <row r="61" spans="1:29" x14ac:dyDescent="0.2">
      <c r="A61">
        <f t="shared" si="0"/>
        <v>2039</v>
      </c>
      <c r="C61">
        <f>HLOOKUP(C$2,Models_Results!$B:$AP,$AC61,FALSE)</f>
        <v>1.585</v>
      </c>
      <c r="D61">
        <f>HLOOKUP(D$2,Models_Results!$B:$AP,$AC61,FALSE)</f>
        <v>1.2350000000000001</v>
      </c>
      <c r="E61">
        <f>HLOOKUP(E$2,Models_Results!$B:$AP,$AC61,FALSE)</f>
        <v>2.2360000000000002</v>
      </c>
      <c r="F61">
        <f>HLOOKUP(F$2,Models_Results!$B:$AP,$AC61,FALSE)</f>
        <v>1.8480000000000001</v>
      </c>
      <c r="G61">
        <f>HLOOKUP(G$2,Models_Results!$B:$AP,$AC61,FALSE)</f>
        <v>1.353</v>
      </c>
      <c r="H61">
        <f>HLOOKUP(H$2,Models_Results!$B:$AP,$AC61,FALSE)</f>
        <v>2.661</v>
      </c>
      <c r="I61">
        <f>HLOOKUP(I$2,Models_Results!$B:$AP,$AC61,FALSE)</f>
        <v>2.0190000000000001</v>
      </c>
      <c r="J61">
        <f>HLOOKUP(J$2,Models_Results!$B:$AP,$AC61,FALSE)</f>
        <v>2.7530000000000001</v>
      </c>
      <c r="K61">
        <f>HLOOKUP(K$2,Models_Results!$B:$AP,$AC61,FALSE)</f>
        <v>1.4059999999999999</v>
      </c>
      <c r="N61" s="34">
        <f>HLOOKUP(N$2,Models_Results!$B:$AP,$AC61,FALSE)</f>
        <v>3.1669999999999998</v>
      </c>
      <c r="O61" s="34">
        <f>HLOOKUP(O$2,Models_Results!$B:$AP,$AC61,FALSE)</f>
        <v>2.7839999999999998</v>
      </c>
      <c r="P61" s="34">
        <f>HLOOKUP(P$2,Models_Results!$B:$AP,$AC61,FALSE)</f>
        <v>5.452</v>
      </c>
      <c r="Q61" s="34">
        <f>HLOOKUP(Q$2,Models_Results!$B:$AP,$AC61,FALSE)</f>
        <v>3.9359999999999999</v>
      </c>
      <c r="R61" s="34">
        <f>HLOOKUP(R$2,Models_Results!$B:$AP,$AC61,FALSE)</f>
        <v>4.0430000000000001</v>
      </c>
      <c r="S61" s="34">
        <f>HLOOKUP(S$2,Models_Results!$B:$AP,$AC61,FALSE)</f>
        <v>3.121</v>
      </c>
      <c r="T61" s="34">
        <f>HLOOKUP(T$2,Models_Results!$B:$AP,$AC61,FALSE)</f>
        <v>3.1669999999999998</v>
      </c>
      <c r="U61" s="34">
        <f>HLOOKUP(U$2,Models_Results!$B:$AP,$AC61,FALSE)</f>
        <v>2.7839999999999998</v>
      </c>
      <c r="V61" s="34">
        <f>HLOOKUP(V$2,Models_Results!$B:$AP,$AC61,FALSE)</f>
        <v>6.1440000000000001</v>
      </c>
      <c r="W61" s="34">
        <f>HLOOKUP(W$2,Models_Results!$B:$AP,$AC61,FALSE)</f>
        <v>4.3259999999999996</v>
      </c>
      <c r="X61" s="34">
        <f>HLOOKUP(X$2,Models_Results!$B:$AP,$AC61,FALSE)</f>
        <v>4.3280000000000003</v>
      </c>
      <c r="Y61" s="34">
        <f>HLOOKUP(Y$2,Models_Results!$B:$AP,$AC61,FALSE)</f>
        <v>3.242</v>
      </c>
      <c r="AC61">
        <v>58</v>
      </c>
    </row>
    <row r="62" spans="1:29" x14ac:dyDescent="0.2">
      <c r="A62">
        <f t="shared" si="0"/>
        <v>2039.25</v>
      </c>
      <c r="C62">
        <f>HLOOKUP(C$2,Models_Results!$B:$AP,$AC62,FALSE)</f>
        <v>1.6040000000000001</v>
      </c>
      <c r="D62">
        <f>HLOOKUP(D$2,Models_Results!$B:$AP,$AC62,FALSE)</f>
        <v>1.2849999999999999</v>
      </c>
      <c r="E62">
        <f>HLOOKUP(E$2,Models_Results!$B:$AP,$AC62,FALSE)</f>
        <v>2.27</v>
      </c>
      <c r="F62">
        <f>HLOOKUP(F$2,Models_Results!$B:$AP,$AC62,FALSE)</f>
        <v>1.873</v>
      </c>
      <c r="G62">
        <f>HLOOKUP(G$2,Models_Results!$B:$AP,$AC62,FALSE)</f>
        <v>1.4179999999999999</v>
      </c>
      <c r="H62">
        <f>HLOOKUP(H$2,Models_Results!$B:$AP,$AC62,FALSE)</f>
        <v>2.7120000000000002</v>
      </c>
      <c r="I62">
        <f>HLOOKUP(I$2,Models_Results!$B:$AP,$AC62,FALSE)</f>
        <v>2.0659999999999998</v>
      </c>
      <c r="J62">
        <f>HLOOKUP(J$2,Models_Results!$B:$AP,$AC62,FALSE)</f>
        <v>2.85</v>
      </c>
      <c r="K62">
        <f>HLOOKUP(K$2,Models_Results!$B:$AP,$AC62,FALSE)</f>
        <v>1.391</v>
      </c>
      <c r="N62" s="34">
        <f>HLOOKUP(N$2,Models_Results!$B:$AP,$AC62,FALSE)</f>
        <v>3.1909999999999998</v>
      </c>
      <c r="O62" s="34">
        <f>HLOOKUP(O$2,Models_Results!$B:$AP,$AC62,FALSE)</f>
        <v>2.8660000000000001</v>
      </c>
      <c r="P62" s="34">
        <f>HLOOKUP(P$2,Models_Results!$B:$AP,$AC62,FALSE)</f>
        <v>5.5229999999999997</v>
      </c>
      <c r="Q62" s="34">
        <f>HLOOKUP(Q$2,Models_Results!$B:$AP,$AC62,FALSE)</f>
        <v>4.1079999999999997</v>
      </c>
      <c r="R62" s="34">
        <f>HLOOKUP(R$2,Models_Results!$B:$AP,$AC62,FALSE)</f>
        <v>4.0970000000000004</v>
      </c>
      <c r="S62" s="34">
        <f>HLOOKUP(S$2,Models_Results!$B:$AP,$AC62,FALSE)</f>
        <v>3.234</v>
      </c>
      <c r="T62" s="34">
        <f>HLOOKUP(T$2,Models_Results!$B:$AP,$AC62,FALSE)</f>
        <v>3.1909999999999998</v>
      </c>
      <c r="U62" s="34">
        <f>HLOOKUP(U$2,Models_Results!$B:$AP,$AC62,FALSE)</f>
        <v>2.8660000000000001</v>
      </c>
      <c r="V62" s="34">
        <f>HLOOKUP(V$2,Models_Results!$B:$AP,$AC62,FALSE)</f>
        <v>6.2279999999999998</v>
      </c>
      <c r="W62" s="34">
        <f>HLOOKUP(W$2,Models_Results!$B:$AP,$AC62,FALSE)</f>
        <v>4.5259999999999998</v>
      </c>
      <c r="X62" s="34">
        <f>HLOOKUP(X$2,Models_Results!$B:$AP,$AC62,FALSE)</f>
        <v>4.3920000000000003</v>
      </c>
      <c r="Y62" s="34">
        <f>HLOOKUP(Y$2,Models_Results!$B:$AP,$AC62,FALSE)</f>
        <v>3.3639999999999999</v>
      </c>
      <c r="AC62">
        <v>59</v>
      </c>
    </row>
    <row r="63" spans="1:29" x14ac:dyDescent="0.2">
      <c r="A63">
        <f t="shared" si="0"/>
        <v>2039.5</v>
      </c>
      <c r="C63">
        <f>HLOOKUP(C$2,Models_Results!$B:$AP,$AC63,FALSE)</f>
        <v>1.6220000000000001</v>
      </c>
      <c r="D63">
        <f>HLOOKUP(D$2,Models_Results!$B:$AP,$AC63,FALSE)</f>
        <v>1.335</v>
      </c>
      <c r="E63">
        <f>HLOOKUP(E$2,Models_Results!$B:$AP,$AC63,FALSE)</f>
        <v>2.302</v>
      </c>
      <c r="F63">
        <f>HLOOKUP(F$2,Models_Results!$B:$AP,$AC63,FALSE)</f>
        <v>1.8979999999999999</v>
      </c>
      <c r="G63">
        <f>HLOOKUP(G$2,Models_Results!$B:$AP,$AC63,FALSE)</f>
        <v>1.4830000000000001</v>
      </c>
      <c r="H63">
        <f>HLOOKUP(H$2,Models_Results!$B:$AP,$AC63,FALSE)</f>
        <v>2.7629999999999999</v>
      </c>
      <c r="I63">
        <f>HLOOKUP(I$2,Models_Results!$B:$AP,$AC63,FALSE)</f>
        <v>2.1110000000000002</v>
      </c>
      <c r="J63">
        <f>HLOOKUP(J$2,Models_Results!$B:$AP,$AC63,FALSE)</f>
        <v>2.9449999999999998</v>
      </c>
      <c r="K63">
        <f>HLOOKUP(K$2,Models_Results!$B:$AP,$AC63,FALSE)</f>
        <v>1.3779999999999999</v>
      </c>
      <c r="N63" s="34">
        <f>HLOOKUP(N$2,Models_Results!$B:$AP,$AC63,FALSE)</f>
        <v>3.2149999999999999</v>
      </c>
      <c r="O63" s="34">
        <f>HLOOKUP(O$2,Models_Results!$B:$AP,$AC63,FALSE)</f>
        <v>2.9470000000000001</v>
      </c>
      <c r="P63" s="34">
        <f>HLOOKUP(P$2,Models_Results!$B:$AP,$AC63,FALSE)</f>
        <v>5.5919999999999996</v>
      </c>
      <c r="Q63" s="34">
        <f>HLOOKUP(Q$2,Models_Results!$B:$AP,$AC63,FALSE)</f>
        <v>4.28</v>
      </c>
      <c r="R63" s="34">
        <f>HLOOKUP(R$2,Models_Results!$B:$AP,$AC63,FALSE)</f>
        <v>4.1520000000000001</v>
      </c>
      <c r="S63" s="34">
        <f>HLOOKUP(S$2,Models_Results!$B:$AP,$AC63,FALSE)</f>
        <v>3.3460000000000001</v>
      </c>
      <c r="T63" s="34">
        <f>HLOOKUP(T$2,Models_Results!$B:$AP,$AC63,FALSE)</f>
        <v>3.2149999999999999</v>
      </c>
      <c r="U63" s="34">
        <f>HLOOKUP(U$2,Models_Results!$B:$AP,$AC63,FALSE)</f>
        <v>2.9470000000000001</v>
      </c>
      <c r="V63" s="34">
        <f>HLOOKUP(V$2,Models_Results!$B:$AP,$AC63,FALSE)</f>
        <v>6.31</v>
      </c>
      <c r="W63" s="34">
        <f>HLOOKUP(W$2,Models_Results!$B:$AP,$AC63,FALSE)</f>
        <v>4.726</v>
      </c>
      <c r="X63" s="34">
        <f>HLOOKUP(X$2,Models_Results!$B:$AP,$AC63,FALSE)</f>
        <v>4.4560000000000004</v>
      </c>
      <c r="Y63" s="34">
        <f>HLOOKUP(Y$2,Models_Results!$B:$AP,$AC63,FALSE)</f>
        <v>3.4870000000000001</v>
      </c>
      <c r="AC63">
        <v>60</v>
      </c>
    </row>
    <row r="64" spans="1:29" x14ac:dyDescent="0.2">
      <c r="A64">
        <f t="shared" si="0"/>
        <v>2039.75</v>
      </c>
      <c r="C64">
        <f>HLOOKUP(C$2,Models_Results!$B:$AP,$AC64,FALSE)</f>
        <v>1.64</v>
      </c>
      <c r="D64">
        <f>HLOOKUP(D$2,Models_Results!$B:$AP,$AC64,FALSE)</f>
        <v>1.385</v>
      </c>
      <c r="E64">
        <f>HLOOKUP(E$2,Models_Results!$B:$AP,$AC64,FALSE)</f>
        <v>2.3340000000000001</v>
      </c>
      <c r="F64">
        <f>HLOOKUP(F$2,Models_Results!$B:$AP,$AC64,FALSE)</f>
        <v>1.923</v>
      </c>
      <c r="G64">
        <f>HLOOKUP(G$2,Models_Results!$B:$AP,$AC64,FALSE)</f>
        <v>1.548</v>
      </c>
      <c r="H64">
        <f>HLOOKUP(H$2,Models_Results!$B:$AP,$AC64,FALSE)</f>
        <v>2.8119999999999998</v>
      </c>
      <c r="I64">
        <f>HLOOKUP(I$2,Models_Results!$B:$AP,$AC64,FALSE)</f>
        <v>2.157</v>
      </c>
      <c r="J64">
        <f>HLOOKUP(J$2,Models_Results!$B:$AP,$AC64,FALSE)</f>
        <v>3.0379999999999998</v>
      </c>
      <c r="K64">
        <f>HLOOKUP(K$2,Models_Results!$B:$AP,$AC64,FALSE)</f>
        <v>1.3660000000000001</v>
      </c>
      <c r="N64" s="34">
        <f>HLOOKUP(N$2,Models_Results!$B:$AP,$AC64,FALSE)</f>
        <v>3.238</v>
      </c>
      <c r="O64" s="34">
        <f>HLOOKUP(O$2,Models_Results!$B:$AP,$AC64,FALSE)</f>
        <v>3.028</v>
      </c>
      <c r="P64" s="34">
        <f>HLOOKUP(P$2,Models_Results!$B:$AP,$AC64,FALSE)</f>
        <v>5.6580000000000004</v>
      </c>
      <c r="Q64" s="34">
        <f>HLOOKUP(Q$2,Models_Results!$B:$AP,$AC64,FALSE)</f>
        <v>4.452</v>
      </c>
      <c r="R64" s="34">
        <f>HLOOKUP(R$2,Models_Results!$B:$AP,$AC64,FALSE)</f>
        <v>4.2050000000000001</v>
      </c>
      <c r="S64" s="34">
        <f>HLOOKUP(S$2,Models_Results!$B:$AP,$AC64,FALSE)</f>
        <v>3.4590000000000001</v>
      </c>
      <c r="T64" s="34">
        <f>HLOOKUP(T$2,Models_Results!$B:$AP,$AC64,FALSE)</f>
        <v>3.238</v>
      </c>
      <c r="U64" s="34">
        <f>HLOOKUP(U$2,Models_Results!$B:$AP,$AC64,FALSE)</f>
        <v>3.028</v>
      </c>
      <c r="V64" s="34">
        <f>HLOOKUP(V$2,Models_Results!$B:$AP,$AC64,FALSE)</f>
        <v>6.3890000000000002</v>
      </c>
      <c r="W64" s="34">
        <f>HLOOKUP(W$2,Models_Results!$B:$AP,$AC64,FALSE)</f>
        <v>4.9260000000000002</v>
      </c>
      <c r="X64" s="34">
        <f>HLOOKUP(X$2,Models_Results!$B:$AP,$AC64,FALSE)</f>
        <v>4.5190000000000001</v>
      </c>
      <c r="Y64" s="34">
        <f>HLOOKUP(Y$2,Models_Results!$B:$AP,$AC64,FALSE)</f>
        <v>3.61</v>
      </c>
      <c r="AC64">
        <v>61</v>
      </c>
    </row>
    <row r="65" spans="1:29" x14ac:dyDescent="0.2">
      <c r="A65">
        <f t="shared" si="0"/>
        <v>2040</v>
      </c>
      <c r="C65">
        <f>HLOOKUP(C$2,Models_Results!$B:$AP,$AC65,FALSE)</f>
        <v>1.6579999999999999</v>
      </c>
      <c r="D65">
        <f>HLOOKUP(D$2,Models_Results!$B:$AP,$AC65,FALSE)</f>
        <v>1.4350000000000001</v>
      </c>
      <c r="E65">
        <f>HLOOKUP(E$2,Models_Results!$B:$AP,$AC65,FALSE)</f>
        <v>2.3650000000000002</v>
      </c>
      <c r="F65">
        <f>HLOOKUP(F$2,Models_Results!$B:$AP,$AC65,FALSE)</f>
        <v>1.948</v>
      </c>
      <c r="G65">
        <f>HLOOKUP(G$2,Models_Results!$B:$AP,$AC65,FALSE)</f>
        <v>1.6140000000000001</v>
      </c>
      <c r="H65">
        <f>HLOOKUP(H$2,Models_Results!$B:$AP,$AC65,FALSE)</f>
        <v>2.8610000000000002</v>
      </c>
      <c r="I65">
        <f>HLOOKUP(I$2,Models_Results!$B:$AP,$AC65,FALSE)</f>
        <v>2.202</v>
      </c>
      <c r="J65">
        <f>HLOOKUP(J$2,Models_Results!$B:$AP,$AC65,FALSE)</f>
        <v>3.13</v>
      </c>
      <c r="K65">
        <f>HLOOKUP(K$2,Models_Results!$B:$AP,$AC65,FALSE)</f>
        <v>1.3540000000000001</v>
      </c>
      <c r="N65" s="34">
        <f>HLOOKUP(N$2,Models_Results!$B:$AP,$AC65,FALSE)</f>
        <v>3.26</v>
      </c>
      <c r="O65" s="34">
        <f>HLOOKUP(O$2,Models_Results!$B:$AP,$AC65,FALSE)</f>
        <v>3.1070000000000002</v>
      </c>
      <c r="P65" s="34">
        <f>HLOOKUP(P$2,Models_Results!$B:$AP,$AC65,FALSE)</f>
        <v>5.7229999999999999</v>
      </c>
      <c r="Q65" s="34">
        <f>HLOOKUP(Q$2,Models_Results!$B:$AP,$AC65,FALSE)</f>
        <v>4.6239999999999997</v>
      </c>
      <c r="R65" s="34">
        <f>HLOOKUP(R$2,Models_Results!$B:$AP,$AC65,FALSE)</f>
        <v>4.2590000000000003</v>
      </c>
      <c r="S65" s="34">
        <f>HLOOKUP(S$2,Models_Results!$B:$AP,$AC65,FALSE)</f>
        <v>3.5710000000000002</v>
      </c>
      <c r="T65" s="34">
        <f>HLOOKUP(T$2,Models_Results!$B:$AP,$AC65,FALSE)</f>
        <v>3.26</v>
      </c>
      <c r="U65" s="34">
        <f>HLOOKUP(U$2,Models_Results!$B:$AP,$AC65,FALSE)</f>
        <v>3.1070000000000002</v>
      </c>
      <c r="V65" s="34">
        <f>HLOOKUP(V$2,Models_Results!$B:$AP,$AC65,FALSE)</f>
        <v>6.4649999999999999</v>
      </c>
      <c r="W65" s="34">
        <f>HLOOKUP(W$2,Models_Results!$B:$AP,$AC65,FALSE)</f>
        <v>5.1260000000000003</v>
      </c>
      <c r="X65" s="34">
        <f>HLOOKUP(X$2,Models_Results!$B:$AP,$AC65,FALSE)</f>
        <v>4.5819999999999999</v>
      </c>
      <c r="Y65" s="34">
        <f>HLOOKUP(Y$2,Models_Results!$B:$AP,$AC65,FALSE)</f>
        <v>3.734</v>
      </c>
      <c r="AC65">
        <v>62</v>
      </c>
    </row>
    <row r="66" spans="1:29" x14ac:dyDescent="0.2">
      <c r="A66">
        <f t="shared" si="0"/>
        <v>2040.25</v>
      </c>
      <c r="C66">
        <f>HLOOKUP(C$2,Models_Results!$B:$AP,$AC66,FALSE)</f>
        <v>1.675</v>
      </c>
      <c r="D66">
        <f>HLOOKUP(D$2,Models_Results!$B:$AP,$AC66,FALSE)</f>
        <v>1.4850000000000001</v>
      </c>
      <c r="E66">
        <f>HLOOKUP(E$2,Models_Results!$B:$AP,$AC66,FALSE)</f>
        <v>2.3959999999999999</v>
      </c>
      <c r="F66">
        <f>HLOOKUP(F$2,Models_Results!$B:$AP,$AC66,FALSE)</f>
        <v>1.9710000000000001</v>
      </c>
      <c r="G66">
        <f>HLOOKUP(G$2,Models_Results!$B:$AP,$AC66,FALSE)</f>
        <v>1.679</v>
      </c>
      <c r="H66">
        <f>HLOOKUP(H$2,Models_Results!$B:$AP,$AC66,FALSE)</f>
        <v>2.9089999999999998</v>
      </c>
      <c r="I66">
        <f>HLOOKUP(I$2,Models_Results!$B:$AP,$AC66,FALSE)</f>
        <v>2.2469999999999999</v>
      </c>
      <c r="J66">
        <f>HLOOKUP(J$2,Models_Results!$B:$AP,$AC66,FALSE)</f>
        <v>3.22</v>
      </c>
      <c r="K66">
        <f>HLOOKUP(K$2,Models_Results!$B:$AP,$AC66,FALSE)</f>
        <v>1.343</v>
      </c>
      <c r="N66" s="34">
        <f>HLOOKUP(N$2,Models_Results!$B:$AP,$AC66,FALSE)</f>
        <v>3.2810000000000001</v>
      </c>
      <c r="O66" s="34">
        <f>HLOOKUP(O$2,Models_Results!$B:$AP,$AC66,FALSE)</f>
        <v>3.1859999999999999</v>
      </c>
      <c r="P66" s="34">
        <f>HLOOKUP(P$2,Models_Results!$B:$AP,$AC66,FALSE)</f>
        <v>5.7859999999999996</v>
      </c>
      <c r="Q66" s="34">
        <f>HLOOKUP(Q$2,Models_Results!$B:$AP,$AC66,FALSE)</f>
        <v>4.7960000000000003</v>
      </c>
      <c r="R66" s="34">
        <f>HLOOKUP(R$2,Models_Results!$B:$AP,$AC66,FALSE)</f>
        <v>4.3109999999999999</v>
      </c>
      <c r="S66" s="34">
        <f>HLOOKUP(S$2,Models_Results!$B:$AP,$AC66,FALSE)</f>
        <v>3.6840000000000002</v>
      </c>
      <c r="T66" s="34">
        <f>HLOOKUP(T$2,Models_Results!$B:$AP,$AC66,FALSE)</f>
        <v>3.2810000000000001</v>
      </c>
      <c r="U66" s="34">
        <f>HLOOKUP(U$2,Models_Results!$B:$AP,$AC66,FALSE)</f>
        <v>3.1859999999999999</v>
      </c>
      <c r="V66" s="34">
        <f>HLOOKUP(V$2,Models_Results!$B:$AP,$AC66,FALSE)</f>
        <v>6.5389999999999997</v>
      </c>
      <c r="W66" s="34">
        <f>HLOOKUP(W$2,Models_Results!$B:$AP,$AC66,FALSE)</f>
        <v>5.3259999999999996</v>
      </c>
      <c r="X66" s="34">
        <f>HLOOKUP(X$2,Models_Results!$B:$AP,$AC66,FALSE)</f>
        <v>4.6440000000000001</v>
      </c>
      <c r="Y66" s="34">
        <f>HLOOKUP(Y$2,Models_Results!$B:$AP,$AC66,FALSE)</f>
        <v>3.8580000000000001</v>
      </c>
      <c r="AC66">
        <v>63</v>
      </c>
    </row>
    <row r="67" spans="1:29" x14ac:dyDescent="0.2">
      <c r="A67">
        <f t="shared" si="0"/>
        <v>2040.5</v>
      </c>
      <c r="C67">
        <f>HLOOKUP(C$2,Models_Results!$B:$AP,$AC67,FALSE)</f>
        <v>1.6919999999999999</v>
      </c>
      <c r="D67">
        <f>HLOOKUP(D$2,Models_Results!$B:$AP,$AC67,FALSE)</f>
        <v>1.5349999999999999</v>
      </c>
      <c r="E67">
        <f>HLOOKUP(E$2,Models_Results!$B:$AP,$AC67,FALSE)</f>
        <v>2.4260000000000002</v>
      </c>
      <c r="F67">
        <f>HLOOKUP(F$2,Models_Results!$B:$AP,$AC67,FALSE)</f>
        <v>1.9950000000000001</v>
      </c>
      <c r="G67">
        <f>HLOOKUP(G$2,Models_Results!$B:$AP,$AC67,FALSE)</f>
        <v>1.7450000000000001</v>
      </c>
      <c r="H67">
        <f>HLOOKUP(H$2,Models_Results!$B:$AP,$AC67,FALSE)</f>
        <v>2.956</v>
      </c>
      <c r="I67">
        <f>HLOOKUP(I$2,Models_Results!$B:$AP,$AC67,FALSE)</f>
        <v>2.2919999999999998</v>
      </c>
      <c r="J67">
        <f>HLOOKUP(J$2,Models_Results!$B:$AP,$AC67,FALSE)</f>
        <v>3.3079999999999998</v>
      </c>
      <c r="K67">
        <f>HLOOKUP(K$2,Models_Results!$B:$AP,$AC67,FALSE)</f>
        <v>1.3320000000000001</v>
      </c>
      <c r="N67" s="34">
        <f>HLOOKUP(N$2,Models_Results!$B:$AP,$AC67,FALSE)</f>
        <v>3.302</v>
      </c>
      <c r="O67" s="34">
        <f>HLOOKUP(O$2,Models_Results!$B:$AP,$AC67,FALSE)</f>
        <v>3.2629999999999999</v>
      </c>
      <c r="P67" s="34">
        <f>HLOOKUP(P$2,Models_Results!$B:$AP,$AC67,FALSE)</f>
        <v>5.8460000000000001</v>
      </c>
      <c r="Q67" s="34">
        <f>HLOOKUP(Q$2,Models_Results!$B:$AP,$AC67,FALSE)</f>
        <v>4.9669999999999996</v>
      </c>
      <c r="R67" s="34">
        <f>HLOOKUP(R$2,Models_Results!$B:$AP,$AC67,FALSE)</f>
        <v>4.3630000000000004</v>
      </c>
      <c r="S67" s="34">
        <f>HLOOKUP(S$2,Models_Results!$B:$AP,$AC67,FALSE)</f>
        <v>3.7970000000000002</v>
      </c>
      <c r="T67" s="34">
        <f>HLOOKUP(T$2,Models_Results!$B:$AP,$AC67,FALSE)</f>
        <v>3.302</v>
      </c>
      <c r="U67" s="34">
        <f>HLOOKUP(U$2,Models_Results!$B:$AP,$AC67,FALSE)</f>
        <v>3.2629999999999999</v>
      </c>
      <c r="V67" s="34">
        <f>HLOOKUP(V$2,Models_Results!$B:$AP,$AC67,FALSE)</f>
        <v>6.6109999999999998</v>
      </c>
      <c r="W67" s="34">
        <f>HLOOKUP(W$2,Models_Results!$B:$AP,$AC67,FALSE)</f>
        <v>5.5259999999999998</v>
      </c>
      <c r="X67" s="34">
        <f>HLOOKUP(X$2,Models_Results!$B:$AP,$AC67,FALSE)</f>
        <v>4.7060000000000004</v>
      </c>
      <c r="Y67" s="34">
        <f>HLOOKUP(Y$2,Models_Results!$B:$AP,$AC67,FALSE)</f>
        <v>3.9820000000000002</v>
      </c>
      <c r="AC67">
        <v>64</v>
      </c>
    </row>
    <row r="68" spans="1:29" x14ac:dyDescent="0.2">
      <c r="A68">
        <f t="shared" si="0"/>
        <v>2040.75</v>
      </c>
      <c r="C68">
        <f>HLOOKUP(C$2,Models_Results!$B:$AP,$AC68,FALSE)</f>
        <v>1.708</v>
      </c>
      <c r="D68">
        <f>HLOOKUP(D$2,Models_Results!$B:$AP,$AC68,FALSE)</f>
        <v>1.5860000000000001</v>
      </c>
      <c r="E68">
        <f>HLOOKUP(E$2,Models_Results!$B:$AP,$AC68,FALSE)</f>
        <v>2.4550000000000001</v>
      </c>
      <c r="F68">
        <f>HLOOKUP(F$2,Models_Results!$B:$AP,$AC68,FALSE)</f>
        <v>2.0179999999999998</v>
      </c>
      <c r="G68">
        <f>HLOOKUP(G$2,Models_Results!$B:$AP,$AC68,FALSE)</f>
        <v>1.8109999999999999</v>
      </c>
      <c r="H68">
        <f>HLOOKUP(H$2,Models_Results!$B:$AP,$AC68,FALSE)</f>
        <v>3.0019999999999998</v>
      </c>
      <c r="I68">
        <f>HLOOKUP(I$2,Models_Results!$B:$AP,$AC68,FALSE)</f>
        <v>2.3359999999999999</v>
      </c>
      <c r="J68">
        <f>HLOOKUP(J$2,Models_Results!$B:$AP,$AC68,FALSE)</f>
        <v>3.395</v>
      </c>
      <c r="K68">
        <f>HLOOKUP(K$2,Models_Results!$B:$AP,$AC68,FALSE)</f>
        <v>1.3220000000000001</v>
      </c>
      <c r="N68" s="34">
        <f>HLOOKUP(N$2,Models_Results!$B:$AP,$AC68,FALSE)</f>
        <v>3.3220000000000001</v>
      </c>
      <c r="O68" s="34">
        <f>HLOOKUP(O$2,Models_Results!$B:$AP,$AC68,FALSE)</f>
        <v>3.34</v>
      </c>
      <c r="P68" s="34">
        <f>HLOOKUP(P$2,Models_Results!$B:$AP,$AC68,FALSE)</f>
        <v>5.9050000000000002</v>
      </c>
      <c r="Q68" s="34">
        <f>HLOOKUP(Q$2,Models_Results!$B:$AP,$AC68,FALSE)</f>
        <v>5.1379999999999999</v>
      </c>
      <c r="R68" s="34">
        <f>HLOOKUP(R$2,Models_Results!$B:$AP,$AC68,FALSE)</f>
        <v>4.415</v>
      </c>
      <c r="S68" s="34">
        <f>HLOOKUP(S$2,Models_Results!$B:$AP,$AC68,FALSE)</f>
        <v>3.9089999999999998</v>
      </c>
      <c r="T68" s="34">
        <f>HLOOKUP(T$2,Models_Results!$B:$AP,$AC68,FALSE)</f>
        <v>3.3220000000000001</v>
      </c>
      <c r="U68" s="34">
        <f>HLOOKUP(U$2,Models_Results!$B:$AP,$AC68,FALSE)</f>
        <v>3.34</v>
      </c>
      <c r="V68" s="34">
        <f>HLOOKUP(V$2,Models_Results!$B:$AP,$AC68,FALSE)</f>
        <v>6.68</v>
      </c>
      <c r="W68" s="34">
        <f>HLOOKUP(W$2,Models_Results!$B:$AP,$AC68,FALSE)</f>
        <v>5.726</v>
      </c>
      <c r="X68" s="34">
        <f>HLOOKUP(X$2,Models_Results!$B:$AP,$AC68,FALSE)</f>
        <v>4.7670000000000003</v>
      </c>
      <c r="Y68" s="34">
        <f>HLOOKUP(Y$2,Models_Results!$B:$AP,$AC68,FALSE)</f>
        <v>4.1059999999999999</v>
      </c>
      <c r="AC68">
        <v>65</v>
      </c>
    </row>
    <row r="69" spans="1:29" x14ac:dyDescent="0.2">
      <c r="A69">
        <f t="shared" si="0"/>
        <v>2041</v>
      </c>
      <c r="C69">
        <f>HLOOKUP(C$2,Models_Results!$B:$AP,$AC69,FALSE)</f>
        <v>1.7250000000000001</v>
      </c>
      <c r="D69">
        <f>HLOOKUP(D$2,Models_Results!$B:$AP,$AC69,FALSE)</f>
        <v>1.6359999999999999</v>
      </c>
      <c r="E69">
        <f>HLOOKUP(E$2,Models_Results!$B:$AP,$AC69,FALSE)</f>
        <v>2.484</v>
      </c>
      <c r="F69">
        <f>HLOOKUP(F$2,Models_Results!$B:$AP,$AC69,FALSE)</f>
        <v>2.04</v>
      </c>
      <c r="G69">
        <f>HLOOKUP(G$2,Models_Results!$B:$AP,$AC69,FALSE)</f>
        <v>1.8779999999999999</v>
      </c>
      <c r="H69">
        <f>HLOOKUP(H$2,Models_Results!$B:$AP,$AC69,FALSE)</f>
        <v>3.0459999999999998</v>
      </c>
      <c r="I69">
        <f>HLOOKUP(I$2,Models_Results!$B:$AP,$AC69,FALSE)</f>
        <v>2.379</v>
      </c>
      <c r="J69">
        <f>HLOOKUP(J$2,Models_Results!$B:$AP,$AC69,FALSE)</f>
        <v>3.48</v>
      </c>
      <c r="K69">
        <f>HLOOKUP(K$2,Models_Results!$B:$AP,$AC69,FALSE)</f>
        <v>1.3129999999999999</v>
      </c>
      <c r="N69" s="34">
        <f>HLOOKUP(N$2,Models_Results!$B:$AP,$AC69,FALSE)</f>
        <v>3.3410000000000002</v>
      </c>
      <c r="O69" s="34">
        <f>HLOOKUP(O$2,Models_Results!$B:$AP,$AC69,FALSE)</f>
        <v>3.415</v>
      </c>
      <c r="P69" s="34">
        <f>HLOOKUP(P$2,Models_Results!$B:$AP,$AC69,FALSE)</f>
        <v>5.9610000000000003</v>
      </c>
      <c r="Q69" s="34">
        <f>HLOOKUP(Q$2,Models_Results!$B:$AP,$AC69,FALSE)</f>
        <v>5.3079999999999998</v>
      </c>
      <c r="R69" s="34">
        <f>HLOOKUP(R$2,Models_Results!$B:$AP,$AC69,FALSE)</f>
        <v>4.4669999999999996</v>
      </c>
      <c r="S69" s="34">
        <f>HLOOKUP(S$2,Models_Results!$B:$AP,$AC69,FALSE)</f>
        <v>4.0209999999999999</v>
      </c>
      <c r="T69" s="34">
        <f>HLOOKUP(T$2,Models_Results!$B:$AP,$AC69,FALSE)</f>
        <v>3.3410000000000002</v>
      </c>
      <c r="U69" s="34">
        <f>HLOOKUP(U$2,Models_Results!$B:$AP,$AC69,FALSE)</f>
        <v>3.415</v>
      </c>
      <c r="V69" s="34">
        <f>HLOOKUP(V$2,Models_Results!$B:$AP,$AC69,FALSE)</f>
        <v>6.7480000000000002</v>
      </c>
      <c r="W69" s="34">
        <f>HLOOKUP(W$2,Models_Results!$B:$AP,$AC69,FALSE)</f>
        <v>5.9240000000000004</v>
      </c>
      <c r="X69" s="34">
        <f>HLOOKUP(X$2,Models_Results!$B:$AP,$AC69,FALSE)</f>
        <v>4.8280000000000003</v>
      </c>
      <c r="Y69" s="34">
        <f>HLOOKUP(Y$2,Models_Results!$B:$AP,$AC69,FALSE)</f>
        <v>4.2300000000000004</v>
      </c>
      <c r="AC69">
        <v>66</v>
      </c>
    </row>
    <row r="70" spans="1:29" x14ac:dyDescent="0.2">
      <c r="A70">
        <f t="shared" si="0"/>
        <v>2041.25</v>
      </c>
      <c r="C70">
        <f>HLOOKUP(C$2,Models_Results!$B:$AP,$AC70,FALSE)</f>
        <v>1.7410000000000001</v>
      </c>
      <c r="D70">
        <f>HLOOKUP(D$2,Models_Results!$B:$AP,$AC70,FALSE)</f>
        <v>1.6850000000000001</v>
      </c>
      <c r="E70">
        <f>HLOOKUP(E$2,Models_Results!$B:$AP,$AC70,FALSE)</f>
        <v>2.512</v>
      </c>
      <c r="F70">
        <f>HLOOKUP(F$2,Models_Results!$B:$AP,$AC70,FALSE)</f>
        <v>2.0630000000000002</v>
      </c>
      <c r="G70">
        <f>HLOOKUP(G$2,Models_Results!$B:$AP,$AC70,FALSE)</f>
        <v>1.944</v>
      </c>
      <c r="H70">
        <f>HLOOKUP(H$2,Models_Results!$B:$AP,$AC70,FALSE)</f>
        <v>3.0910000000000002</v>
      </c>
      <c r="I70">
        <f>HLOOKUP(I$2,Models_Results!$B:$AP,$AC70,FALSE)</f>
        <v>2.423</v>
      </c>
      <c r="J70">
        <f>HLOOKUP(J$2,Models_Results!$B:$AP,$AC70,FALSE)</f>
        <v>3.5640000000000001</v>
      </c>
      <c r="K70">
        <f>HLOOKUP(K$2,Models_Results!$B:$AP,$AC70,FALSE)</f>
        <v>1.304</v>
      </c>
      <c r="N70" s="34">
        <f>HLOOKUP(N$2,Models_Results!$B:$AP,$AC70,FALSE)</f>
        <v>3.36</v>
      </c>
      <c r="O70" s="34">
        <f>HLOOKUP(O$2,Models_Results!$B:$AP,$AC70,FALSE)</f>
        <v>3.49</v>
      </c>
      <c r="P70" s="34">
        <f>HLOOKUP(P$2,Models_Results!$B:$AP,$AC70,FALSE)</f>
        <v>6.016</v>
      </c>
      <c r="Q70" s="34">
        <f>HLOOKUP(Q$2,Models_Results!$B:$AP,$AC70,FALSE)</f>
        <v>5.4770000000000003</v>
      </c>
      <c r="R70" s="34">
        <f>HLOOKUP(R$2,Models_Results!$B:$AP,$AC70,FALSE)</f>
        <v>4.5170000000000003</v>
      </c>
      <c r="S70" s="34">
        <f>HLOOKUP(S$2,Models_Results!$B:$AP,$AC70,FALSE)</f>
        <v>4.1340000000000003</v>
      </c>
      <c r="T70" s="34">
        <f>HLOOKUP(T$2,Models_Results!$B:$AP,$AC70,FALSE)</f>
        <v>3.36</v>
      </c>
      <c r="U70" s="34">
        <f>HLOOKUP(U$2,Models_Results!$B:$AP,$AC70,FALSE)</f>
        <v>3.49</v>
      </c>
      <c r="V70" s="34">
        <f>HLOOKUP(V$2,Models_Results!$B:$AP,$AC70,FALSE)</f>
        <v>6.8129999999999997</v>
      </c>
      <c r="W70" s="34">
        <f>HLOOKUP(W$2,Models_Results!$B:$AP,$AC70,FALSE)</f>
        <v>6.1219999999999999</v>
      </c>
      <c r="X70" s="34">
        <f>HLOOKUP(X$2,Models_Results!$B:$AP,$AC70,FALSE)</f>
        <v>4.8890000000000002</v>
      </c>
      <c r="Y70" s="34">
        <f>HLOOKUP(Y$2,Models_Results!$B:$AP,$AC70,FALSE)</f>
        <v>4.3550000000000004</v>
      </c>
      <c r="AC70">
        <v>67</v>
      </c>
    </row>
    <row r="71" spans="1:29" x14ac:dyDescent="0.2">
      <c r="A71">
        <f t="shared" si="0"/>
        <v>2041.5</v>
      </c>
      <c r="C71">
        <f>HLOOKUP(C$2,Models_Results!$B:$AP,$AC71,FALSE)</f>
        <v>1.7569999999999999</v>
      </c>
      <c r="D71">
        <f>HLOOKUP(D$2,Models_Results!$B:$AP,$AC71,FALSE)</f>
        <v>1.7350000000000001</v>
      </c>
      <c r="E71">
        <f>HLOOKUP(E$2,Models_Results!$B:$AP,$AC71,FALSE)</f>
        <v>2.54</v>
      </c>
      <c r="F71">
        <f>HLOOKUP(F$2,Models_Results!$B:$AP,$AC71,FALSE)</f>
        <v>2.0840000000000001</v>
      </c>
      <c r="G71">
        <f>HLOOKUP(G$2,Models_Results!$B:$AP,$AC71,FALSE)</f>
        <v>2.0099999999999998</v>
      </c>
      <c r="H71">
        <f>HLOOKUP(H$2,Models_Results!$B:$AP,$AC71,FALSE)</f>
        <v>3.1339999999999999</v>
      </c>
      <c r="I71">
        <f>HLOOKUP(I$2,Models_Results!$B:$AP,$AC71,FALSE)</f>
        <v>2.4660000000000002</v>
      </c>
      <c r="J71">
        <f>HLOOKUP(J$2,Models_Results!$B:$AP,$AC71,FALSE)</f>
        <v>3.6459999999999999</v>
      </c>
      <c r="K71">
        <f>HLOOKUP(K$2,Models_Results!$B:$AP,$AC71,FALSE)</f>
        <v>1.296</v>
      </c>
      <c r="N71" s="34">
        <f>HLOOKUP(N$2,Models_Results!$B:$AP,$AC71,FALSE)</f>
        <v>3.3780000000000001</v>
      </c>
      <c r="O71" s="34">
        <f>HLOOKUP(O$2,Models_Results!$B:$AP,$AC71,FALSE)</f>
        <v>3.5640000000000001</v>
      </c>
      <c r="P71" s="34">
        <f>HLOOKUP(P$2,Models_Results!$B:$AP,$AC71,FALSE)</f>
        <v>6.07</v>
      </c>
      <c r="Q71" s="34">
        <f>HLOOKUP(Q$2,Models_Results!$B:$AP,$AC71,FALSE)</f>
        <v>5.6449999999999996</v>
      </c>
      <c r="R71" s="34">
        <f>HLOOKUP(R$2,Models_Results!$B:$AP,$AC71,FALSE)</f>
        <v>4.5679999999999996</v>
      </c>
      <c r="S71" s="34">
        <f>HLOOKUP(S$2,Models_Results!$B:$AP,$AC71,FALSE)</f>
        <v>4.2460000000000004</v>
      </c>
      <c r="T71" s="34">
        <f>HLOOKUP(T$2,Models_Results!$B:$AP,$AC71,FALSE)</f>
        <v>3.3780000000000001</v>
      </c>
      <c r="U71" s="34">
        <f>HLOOKUP(U$2,Models_Results!$B:$AP,$AC71,FALSE)</f>
        <v>3.5640000000000001</v>
      </c>
      <c r="V71" s="34">
        <f>HLOOKUP(V$2,Models_Results!$B:$AP,$AC71,FALSE)</f>
        <v>6.875</v>
      </c>
      <c r="W71" s="34">
        <f>HLOOKUP(W$2,Models_Results!$B:$AP,$AC71,FALSE)</f>
        <v>6.319</v>
      </c>
      <c r="X71" s="34">
        <f>HLOOKUP(X$2,Models_Results!$B:$AP,$AC71,FALSE)</f>
        <v>4.9489999999999998</v>
      </c>
      <c r="Y71" s="34">
        <f>HLOOKUP(Y$2,Models_Results!$B:$AP,$AC71,FALSE)</f>
        <v>4.4800000000000004</v>
      </c>
      <c r="AC71">
        <v>68</v>
      </c>
    </row>
    <row r="72" spans="1:29" x14ac:dyDescent="0.2">
      <c r="A72">
        <f t="shared" si="0"/>
        <v>2041.75</v>
      </c>
      <c r="C72">
        <f>HLOOKUP(C$2,Models_Results!$B:$AP,$AC72,FALSE)</f>
        <v>1.772</v>
      </c>
      <c r="D72">
        <f>HLOOKUP(D$2,Models_Results!$B:$AP,$AC72,FALSE)</f>
        <v>1.7849999999999999</v>
      </c>
      <c r="E72">
        <f>HLOOKUP(E$2,Models_Results!$B:$AP,$AC72,FALSE)</f>
        <v>2.5670000000000002</v>
      </c>
      <c r="F72">
        <f>HLOOKUP(F$2,Models_Results!$B:$AP,$AC72,FALSE)</f>
        <v>2.1059999999999999</v>
      </c>
      <c r="G72">
        <f>HLOOKUP(G$2,Models_Results!$B:$AP,$AC72,FALSE)</f>
        <v>2.0760000000000001</v>
      </c>
      <c r="H72">
        <f>HLOOKUP(H$2,Models_Results!$B:$AP,$AC72,FALSE)</f>
        <v>3.1760000000000002</v>
      </c>
      <c r="I72">
        <f>HLOOKUP(I$2,Models_Results!$B:$AP,$AC72,FALSE)</f>
        <v>2.508</v>
      </c>
      <c r="J72">
        <f>HLOOKUP(J$2,Models_Results!$B:$AP,$AC72,FALSE)</f>
        <v>3.7269999999999999</v>
      </c>
      <c r="K72">
        <f>HLOOKUP(K$2,Models_Results!$B:$AP,$AC72,FALSE)</f>
        <v>1.288</v>
      </c>
      <c r="N72" s="34">
        <f>HLOOKUP(N$2,Models_Results!$B:$AP,$AC72,FALSE)</f>
        <v>3.395</v>
      </c>
      <c r="O72" s="34">
        <f>HLOOKUP(O$2,Models_Results!$B:$AP,$AC72,FALSE)</f>
        <v>3.6360000000000001</v>
      </c>
      <c r="P72" s="34">
        <f>HLOOKUP(P$2,Models_Results!$B:$AP,$AC72,FALSE)</f>
        <v>6.1210000000000004</v>
      </c>
      <c r="Q72" s="34">
        <f>HLOOKUP(Q$2,Models_Results!$B:$AP,$AC72,FALSE)</f>
        <v>5.8129999999999997</v>
      </c>
      <c r="R72" s="34">
        <f>HLOOKUP(R$2,Models_Results!$B:$AP,$AC72,FALSE)</f>
        <v>4.6180000000000003</v>
      </c>
      <c r="S72" s="34">
        <f>HLOOKUP(S$2,Models_Results!$B:$AP,$AC72,FALSE)</f>
        <v>4.3579999999999997</v>
      </c>
      <c r="T72" s="34">
        <f>HLOOKUP(T$2,Models_Results!$B:$AP,$AC72,FALSE)</f>
        <v>3.395</v>
      </c>
      <c r="U72" s="34">
        <f>HLOOKUP(U$2,Models_Results!$B:$AP,$AC72,FALSE)</f>
        <v>3.6360000000000001</v>
      </c>
      <c r="V72" s="34">
        <f>HLOOKUP(V$2,Models_Results!$B:$AP,$AC72,FALSE)</f>
        <v>6.9359999999999999</v>
      </c>
      <c r="W72" s="34">
        <f>HLOOKUP(W$2,Models_Results!$B:$AP,$AC72,FALSE)</f>
        <v>6.5149999999999997</v>
      </c>
      <c r="X72" s="34">
        <f>HLOOKUP(X$2,Models_Results!$B:$AP,$AC72,FALSE)</f>
        <v>5.0090000000000003</v>
      </c>
      <c r="Y72" s="34">
        <f>HLOOKUP(Y$2,Models_Results!$B:$AP,$AC72,FALSE)</f>
        <v>4.6040000000000001</v>
      </c>
      <c r="AC72">
        <v>69</v>
      </c>
    </row>
    <row r="73" spans="1:29" x14ac:dyDescent="0.2">
      <c r="A73">
        <f t="shared" si="0"/>
        <v>2042</v>
      </c>
      <c r="C73">
        <f>HLOOKUP(C$2,Models_Results!$B:$AP,$AC73,FALSE)</f>
        <v>1.788</v>
      </c>
      <c r="D73">
        <f>HLOOKUP(D$2,Models_Results!$B:$AP,$AC73,FALSE)</f>
        <v>1.835</v>
      </c>
      <c r="E73">
        <f>HLOOKUP(E$2,Models_Results!$B:$AP,$AC73,FALSE)</f>
        <v>2.593</v>
      </c>
      <c r="F73">
        <f>HLOOKUP(F$2,Models_Results!$B:$AP,$AC73,FALSE)</f>
        <v>2.1269999999999998</v>
      </c>
      <c r="G73">
        <f>HLOOKUP(G$2,Models_Results!$B:$AP,$AC73,FALSE)</f>
        <v>2.1429999999999998</v>
      </c>
      <c r="H73">
        <f>HLOOKUP(H$2,Models_Results!$B:$AP,$AC73,FALSE)</f>
        <v>3.218</v>
      </c>
      <c r="I73">
        <f>HLOOKUP(I$2,Models_Results!$B:$AP,$AC73,FALSE)</f>
        <v>2.5510000000000002</v>
      </c>
      <c r="J73">
        <f>HLOOKUP(J$2,Models_Results!$B:$AP,$AC73,FALSE)</f>
        <v>3.806</v>
      </c>
      <c r="K73">
        <f>HLOOKUP(K$2,Models_Results!$B:$AP,$AC73,FALSE)</f>
        <v>1.2809999999999999</v>
      </c>
      <c r="N73" s="34">
        <f>HLOOKUP(N$2,Models_Results!$B:$AP,$AC73,FALSE)</f>
        <v>3.4119999999999999</v>
      </c>
      <c r="O73" s="34">
        <f>HLOOKUP(O$2,Models_Results!$B:$AP,$AC73,FALSE)</f>
        <v>3.7080000000000002</v>
      </c>
      <c r="P73" s="34">
        <f>HLOOKUP(P$2,Models_Results!$B:$AP,$AC73,FALSE)</f>
        <v>6.1710000000000003</v>
      </c>
      <c r="Q73" s="34">
        <f>HLOOKUP(Q$2,Models_Results!$B:$AP,$AC73,FALSE)</f>
        <v>5.9790000000000001</v>
      </c>
      <c r="R73" s="34">
        <f>HLOOKUP(R$2,Models_Results!$B:$AP,$AC73,FALSE)</f>
        <v>4.6680000000000001</v>
      </c>
      <c r="S73" s="34">
        <f>HLOOKUP(S$2,Models_Results!$B:$AP,$AC73,FALSE)</f>
        <v>4.4690000000000003</v>
      </c>
      <c r="T73" s="34">
        <f>HLOOKUP(T$2,Models_Results!$B:$AP,$AC73,FALSE)</f>
        <v>3.4119999999999999</v>
      </c>
      <c r="U73" s="34">
        <f>HLOOKUP(U$2,Models_Results!$B:$AP,$AC73,FALSE)</f>
        <v>3.7080000000000002</v>
      </c>
      <c r="V73" s="34">
        <f>HLOOKUP(V$2,Models_Results!$B:$AP,$AC73,FALSE)</f>
        <v>6.9950000000000001</v>
      </c>
      <c r="W73" s="34">
        <f>HLOOKUP(W$2,Models_Results!$B:$AP,$AC73,FALSE)</f>
        <v>6.71</v>
      </c>
      <c r="X73" s="34">
        <f>HLOOKUP(X$2,Models_Results!$B:$AP,$AC73,FALSE)</f>
        <v>5.0679999999999996</v>
      </c>
      <c r="Y73" s="34">
        <f>HLOOKUP(Y$2,Models_Results!$B:$AP,$AC73,FALSE)</f>
        <v>4.7290000000000001</v>
      </c>
      <c r="AC73">
        <v>70</v>
      </c>
    </row>
    <row r="74" spans="1:29" x14ac:dyDescent="0.2">
      <c r="A74">
        <f t="shared" si="0"/>
        <v>2042.25</v>
      </c>
      <c r="C74">
        <f>HLOOKUP(C$2,Models_Results!$B:$AP,$AC74,FALSE)</f>
        <v>1.8029999999999999</v>
      </c>
      <c r="D74">
        <f>HLOOKUP(D$2,Models_Results!$B:$AP,$AC74,FALSE)</f>
        <v>1.8839999999999999</v>
      </c>
      <c r="E74">
        <f>HLOOKUP(E$2,Models_Results!$B:$AP,$AC74,FALSE)</f>
        <v>2.6190000000000002</v>
      </c>
      <c r="F74">
        <f>HLOOKUP(F$2,Models_Results!$B:$AP,$AC74,FALSE)</f>
        <v>2.1469999999999998</v>
      </c>
      <c r="G74">
        <f>HLOOKUP(G$2,Models_Results!$B:$AP,$AC74,FALSE)</f>
        <v>2.2090000000000001</v>
      </c>
      <c r="H74">
        <f>HLOOKUP(H$2,Models_Results!$B:$AP,$AC74,FALSE)</f>
        <v>3.258</v>
      </c>
      <c r="I74">
        <f>HLOOKUP(I$2,Models_Results!$B:$AP,$AC74,FALSE)</f>
        <v>2.593</v>
      </c>
      <c r="J74">
        <f>HLOOKUP(J$2,Models_Results!$B:$AP,$AC74,FALSE)</f>
        <v>3.883</v>
      </c>
      <c r="K74">
        <f>HLOOKUP(K$2,Models_Results!$B:$AP,$AC74,FALSE)</f>
        <v>1.2749999999999999</v>
      </c>
      <c r="N74" s="34">
        <f>HLOOKUP(N$2,Models_Results!$B:$AP,$AC74,FALSE)</f>
        <v>3.4289999999999998</v>
      </c>
      <c r="O74" s="34">
        <f>HLOOKUP(O$2,Models_Results!$B:$AP,$AC74,FALSE)</f>
        <v>3.7789999999999999</v>
      </c>
      <c r="P74" s="34">
        <f>HLOOKUP(P$2,Models_Results!$B:$AP,$AC74,FALSE)</f>
        <v>6.2190000000000003</v>
      </c>
      <c r="Q74" s="34">
        <f>HLOOKUP(Q$2,Models_Results!$B:$AP,$AC74,FALSE)</f>
        <v>6.1440000000000001</v>
      </c>
      <c r="R74" s="34">
        <f>HLOOKUP(R$2,Models_Results!$B:$AP,$AC74,FALSE)</f>
        <v>4.7169999999999996</v>
      </c>
      <c r="S74" s="34">
        <f>HLOOKUP(S$2,Models_Results!$B:$AP,$AC74,FALSE)</f>
        <v>4.5810000000000004</v>
      </c>
      <c r="T74" s="34">
        <f>HLOOKUP(T$2,Models_Results!$B:$AP,$AC74,FALSE)</f>
        <v>3.4289999999999998</v>
      </c>
      <c r="U74" s="34">
        <f>HLOOKUP(U$2,Models_Results!$B:$AP,$AC74,FALSE)</f>
        <v>3.7789999999999999</v>
      </c>
      <c r="V74" s="34">
        <f>HLOOKUP(V$2,Models_Results!$B:$AP,$AC74,FALSE)</f>
        <v>7.0519999999999996</v>
      </c>
      <c r="W74" s="34">
        <f>HLOOKUP(W$2,Models_Results!$B:$AP,$AC74,FALSE)</f>
        <v>6.9029999999999996</v>
      </c>
      <c r="X74" s="34">
        <f>HLOOKUP(X$2,Models_Results!$B:$AP,$AC74,FALSE)</f>
        <v>5.1269999999999998</v>
      </c>
      <c r="Y74" s="34">
        <f>HLOOKUP(Y$2,Models_Results!$B:$AP,$AC74,FALSE)</f>
        <v>4.8540000000000001</v>
      </c>
      <c r="AC74">
        <v>71</v>
      </c>
    </row>
    <row r="75" spans="1:29" x14ac:dyDescent="0.2">
      <c r="A75">
        <f t="shared" ref="A75:A105" si="1">A74+0.25</f>
        <v>2042.5</v>
      </c>
      <c r="C75">
        <f>HLOOKUP(C$2,Models_Results!$B:$AP,$AC75,FALSE)</f>
        <v>1.8169999999999999</v>
      </c>
      <c r="D75">
        <f>HLOOKUP(D$2,Models_Results!$B:$AP,$AC75,FALSE)</f>
        <v>1.9330000000000001</v>
      </c>
      <c r="E75">
        <f>HLOOKUP(E$2,Models_Results!$B:$AP,$AC75,FALSE)</f>
        <v>2.645</v>
      </c>
      <c r="F75">
        <f>HLOOKUP(F$2,Models_Results!$B:$AP,$AC75,FALSE)</f>
        <v>2.1669999999999998</v>
      </c>
      <c r="G75">
        <f>HLOOKUP(G$2,Models_Results!$B:$AP,$AC75,FALSE)</f>
        <v>2.2749999999999999</v>
      </c>
      <c r="H75">
        <f>HLOOKUP(H$2,Models_Results!$B:$AP,$AC75,FALSE)</f>
        <v>3.298</v>
      </c>
      <c r="I75">
        <f>HLOOKUP(I$2,Models_Results!$B:$AP,$AC75,FALSE)</f>
        <v>2.6339999999999999</v>
      </c>
      <c r="J75">
        <f>HLOOKUP(J$2,Models_Results!$B:$AP,$AC75,FALSE)</f>
        <v>3.96</v>
      </c>
      <c r="K75">
        <f>HLOOKUP(K$2,Models_Results!$B:$AP,$AC75,FALSE)</f>
        <v>1.2689999999999999</v>
      </c>
      <c r="N75" s="34">
        <f>HLOOKUP(N$2,Models_Results!$B:$AP,$AC75,FALSE)</f>
        <v>3.4449999999999998</v>
      </c>
      <c r="O75" s="34">
        <f>HLOOKUP(O$2,Models_Results!$B:$AP,$AC75,FALSE)</f>
        <v>3.8479999999999999</v>
      </c>
      <c r="P75" s="34">
        <f>HLOOKUP(P$2,Models_Results!$B:$AP,$AC75,FALSE)</f>
        <v>6.266</v>
      </c>
      <c r="Q75" s="34">
        <f>HLOOKUP(Q$2,Models_Results!$B:$AP,$AC75,FALSE)</f>
        <v>6.3070000000000004</v>
      </c>
      <c r="R75" s="34">
        <f>HLOOKUP(R$2,Models_Results!$B:$AP,$AC75,FALSE)</f>
        <v>4.766</v>
      </c>
      <c r="S75" s="34">
        <f>HLOOKUP(S$2,Models_Results!$B:$AP,$AC75,FALSE)</f>
        <v>4.6920000000000002</v>
      </c>
      <c r="T75" s="34">
        <f>HLOOKUP(T$2,Models_Results!$B:$AP,$AC75,FALSE)</f>
        <v>3.4449999999999998</v>
      </c>
      <c r="U75" s="34">
        <f>HLOOKUP(U$2,Models_Results!$B:$AP,$AC75,FALSE)</f>
        <v>3.8479999999999999</v>
      </c>
      <c r="V75" s="34">
        <f>HLOOKUP(V$2,Models_Results!$B:$AP,$AC75,FALSE)</f>
        <v>7.1079999999999997</v>
      </c>
      <c r="W75" s="34">
        <f>HLOOKUP(W$2,Models_Results!$B:$AP,$AC75,FALSE)</f>
        <v>7.0949999999999998</v>
      </c>
      <c r="X75" s="34">
        <f>HLOOKUP(X$2,Models_Results!$B:$AP,$AC75,FALSE)</f>
        <v>5.1859999999999999</v>
      </c>
      <c r="Y75" s="34">
        <f>HLOOKUP(Y$2,Models_Results!$B:$AP,$AC75,FALSE)</f>
        <v>4.9790000000000001</v>
      </c>
      <c r="AC75">
        <v>72</v>
      </c>
    </row>
    <row r="76" spans="1:29" x14ac:dyDescent="0.2">
      <c r="A76">
        <f t="shared" si="1"/>
        <v>2042.75</v>
      </c>
      <c r="C76">
        <f>HLOOKUP(C$2,Models_Results!$B:$AP,$AC76,FALSE)</f>
        <v>1.8320000000000001</v>
      </c>
      <c r="D76">
        <f>HLOOKUP(D$2,Models_Results!$B:$AP,$AC76,FALSE)</f>
        <v>1.982</v>
      </c>
      <c r="E76">
        <f>HLOOKUP(E$2,Models_Results!$B:$AP,$AC76,FALSE)</f>
        <v>2.67</v>
      </c>
      <c r="F76">
        <f>HLOOKUP(F$2,Models_Results!$B:$AP,$AC76,FALSE)</f>
        <v>2.1869999999999998</v>
      </c>
      <c r="G76">
        <f>HLOOKUP(G$2,Models_Results!$B:$AP,$AC76,FALSE)</f>
        <v>2.3410000000000002</v>
      </c>
      <c r="H76">
        <f>HLOOKUP(H$2,Models_Results!$B:$AP,$AC76,FALSE)</f>
        <v>3.3370000000000002</v>
      </c>
      <c r="I76">
        <f>HLOOKUP(I$2,Models_Results!$B:$AP,$AC76,FALSE)</f>
        <v>2.6749999999999998</v>
      </c>
      <c r="J76">
        <f>HLOOKUP(J$2,Models_Results!$B:$AP,$AC76,FALSE)</f>
        <v>4.0350000000000001</v>
      </c>
      <c r="K76">
        <f>HLOOKUP(K$2,Models_Results!$B:$AP,$AC76,FALSE)</f>
        <v>1.2629999999999999</v>
      </c>
      <c r="N76" s="34">
        <f>HLOOKUP(N$2,Models_Results!$B:$AP,$AC76,FALSE)</f>
        <v>3.46</v>
      </c>
      <c r="O76" s="34">
        <f>HLOOKUP(O$2,Models_Results!$B:$AP,$AC76,FALSE)</f>
        <v>3.9169999999999998</v>
      </c>
      <c r="P76" s="34">
        <f>HLOOKUP(P$2,Models_Results!$B:$AP,$AC76,FALSE)</f>
        <v>6.3109999999999999</v>
      </c>
      <c r="Q76" s="34">
        <f>HLOOKUP(Q$2,Models_Results!$B:$AP,$AC76,FALSE)</f>
        <v>6.4690000000000003</v>
      </c>
      <c r="R76" s="34">
        <f>HLOOKUP(R$2,Models_Results!$B:$AP,$AC76,FALSE)</f>
        <v>4.8150000000000004</v>
      </c>
      <c r="S76" s="34">
        <f>HLOOKUP(S$2,Models_Results!$B:$AP,$AC76,FALSE)</f>
        <v>4.8029999999999999</v>
      </c>
      <c r="T76" s="34">
        <f>HLOOKUP(T$2,Models_Results!$B:$AP,$AC76,FALSE)</f>
        <v>3.46</v>
      </c>
      <c r="U76" s="34">
        <f>HLOOKUP(U$2,Models_Results!$B:$AP,$AC76,FALSE)</f>
        <v>3.9169999999999998</v>
      </c>
      <c r="V76" s="34">
        <f>HLOOKUP(V$2,Models_Results!$B:$AP,$AC76,FALSE)</f>
        <v>7.1609999999999996</v>
      </c>
      <c r="W76" s="34">
        <f>HLOOKUP(W$2,Models_Results!$B:$AP,$AC76,FALSE)</f>
        <v>7.2859999999999996</v>
      </c>
      <c r="X76" s="34">
        <f>HLOOKUP(X$2,Models_Results!$B:$AP,$AC76,FALSE)</f>
        <v>5.2450000000000001</v>
      </c>
      <c r="Y76" s="34">
        <f>HLOOKUP(Y$2,Models_Results!$B:$AP,$AC76,FALSE)</f>
        <v>5.1040000000000001</v>
      </c>
      <c r="AC76">
        <v>73</v>
      </c>
    </row>
    <row r="77" spans="1:29" x14ac:dyDescent="0.2">
      <c r="A77">
        <f t="shared" si="1"/>
        <v>2043</v>
      </c>
      <c r="C77">
        <f>HLOOKUP(C$2,Models_Results!$B:$AP,$AC77,FALSE)</f>
        <v>1.8460000000000001</v>
      </c>
      <c r="D77">
        <f>HLOOKUP(D$2,Models_Results!$B:$AP,$AC77,FALSE)</f>
        <v>2.0310000000000001</v>
      </c>
      <c r="E77">
        <f>HLOOKUP(E$2,Models_Results!$B:$AP,$AC77,FALSE)</f>
        <v>2.694</v>
      </c>
      <c r="F77">
        <f>HLOOKUP(F$2,Models_Results!$B:$AP,$AC77,FALSE)</f>
        <v>2.2069999999999999</v>
      </c>
      <c r="G77">
        <f>HLOOKUP(G$2,Models_Results!$B:$AP,$AC77,FALSE)</f>
        <v>2.407</v>
      </c>
      <c r="H77">
        <f>HLOOKUP(H$2,Models_Results!$B:$AP,$AC77,FALSE)</f>
        <v>3.375</v>
      </c>
      <c r="I77">
        <f>HLOOKUP(I$2,Models_Results!$B:$AP,$AC77,FALSE)</f>
        <v>2.7160000000000002</v>
      </c>
      <c r="J77">
        <f>HLOOKUP(J$2,Models_Results!$B:$AP,$AC77,FALSE)</f>
        <v>4.1079999999999997</v>
      </c>
      <c r="K77">
        <f>HLOOKUP(K$2,Models_Results!$B:$AP,$AC77,FALSE)</f>
        <v>1.258</v>
      </c>
      <c r="N77" s="34">
        <f>HLOOKUP(N$2,Models_Results!$B:$AP,$AC77,FALSE)</f>
        <v>3.4750000000000001</v>
      </c>
      <c r="O77" s="34">
        <f>HLOOKUP(O$2,Models_Results!$B:$AP,$AC77,FALSE)</f>
        <v>3.984</v>
      </c>
      <c r="P77" s="34">
        <f>HLOOKUP(P$2,Models_Results!$B:$AP,$AC77,FALSE)</f>
        <v>6.3550000000000004</v>
      </c>
      <c r="Q77" s="34">
        <f>HLOOKUP(Q$2,Models_Results!$B:$AP,$AC77,FALSE)</f>
        <v>6.63</v>
      </c>
      <c r="R77" s="34">
        <f>HLOOKUP(R$2,Models_Results!$B:$AP,$AC77,FALSE)</f>
        <v>4.8630000000000004</v>
      </c>
      <c r="S77" s="34">
        <f>HLOOKUP(S$2,Models_Results!$B:$AP,$AC77,FALSE)</f>
        <v>4.9139999999999997</v>
      </c>
      <c r="T77" s="34">
        <f>HLOOKUP(T$2,Models_Results!$B:$AP,$AC77,FALSE)</f>
        <v>3.4750000000000001</v>
      </c>
      <c r="U77" s="34">
        <f>HLOOKUP(U$2,Models_Results!$B:$AP,$AC77,FALSE)</f>
        <v>3.984</v>
      </c>
      <c r="V77" s="34">
        <f>HLOOKUP(V$2,Models_Results!$B:$AP,$AC77,FALSE)</f>
        <v>7.2130000000000001</v>
      </c>
      <c r="W77" s="34">
        <f>HLOOKUP(W$2,Models_Results!$B:$AP,$AC77,FALSE)</f>
        <v>7.4740000000000002</v>
      </c>
      <c r="X77" s="34">
        <f>HLOOKUP(X$2,Models_Results!$B:$AP,$AC77,FALSE)</f>
        <v>5.3029999999999999</v>
      </c>
      <c r="Y77" s="34">
        <f>HLOOKUP(Y$2,Models_Results!$B:$AP,$AC77,FALSE)</f>
        <v>5.2290000000000001</v>
      </c>
      <c r="AC77">
        <v>74</v>
      </c>
    </row>
    <row r="78" spans="1:29" x14ac:dyDescent="0.2">
      <c r="A78">
        <f t="shared" si="1"/>
        <v>2043.25</v>
      </c>
      <c r="C78">
        <f>HLOOKUP(C$2,Models_Results!$B:$AP,$AC78,FALSE)</f>
        <v>1.86</v>
      </c>
      <c r="D78">
        <f>HLOOKUP(D$2,Models_Results!$B:$AP,$AC78,FALSE)</f>
        <v>2.08</v>
      </c>
      <c r="E78">
        <f>HLOOKUP(E$2,Models_Results!$B:$AP,$AC78,FALSE)</f>
        <v>2.718</v>
      </c>
      <c r="F78">
        <f>HLOOKUP(F$2,Models_Results!$B:$AP,$AC78,FALSE)</f>
        <v>2.226</v>
      </c>
      <c r="G78">
        <f>HLOOKUP(G$2,Models_Results!$B:$AP,$AC78,FALSE)</f>
        <v>2.4729999999999999</v>
      </c>
      <c r="H78">
        <f>HLOOKUP(H$2,Models_Results!$B:$AP,$AC78,FALSE)</f>
        <v>3.4129999999999998</v>
      </c>
      <c r="I78">
        <f>HLOOKUP(I$2,Models_Results!$B:$AP,$AC78,FALSE)</f>
        <v>2.7559999999999998</v>
      </c>
      <c r="J78">
        <f>HLOOKUP(J$2,Models_Results!$B:$AP,$AC78,FALSE)</f>
        <v>4.18</v>
      </c>
      <c r="K78">
        <f>HLOOKUP(K$2,Models_Results!$B:$AP,$AC78,FALSE)</f>
        <v>1.2529999999999999</v>
      </c>
      <c r="N78" s="34">
        <f>HLOOKUP(N$2,Models_Results!$B:$AP,$AC78,FALSE)</f>
        <v>3.49</v>
      </c>
      <c r="O78" s="34">
        <f>HLOOKUP(O$2,Models_Results!$B:$AP,$AC78,FALSE)</f>
        <v>4.0510000000000002</v>
      </c>
      <c r="P78" s="34">
        <f>HLOOKUP(P$2,Models_Results!$B:$AP,$AC78,FALSE)</f>
        <v>6.3970000000000002</v>
      </c>
      <c r="Q78" s="34">
        <f>HLOOKUP(Q$2,Models_Results!$B:$AP,$AC78,FALSE)</f>
        <v>6.7889999999999997</v>
      </c>
      <c r="R78" s="34">
        <f>HLOOKUP(R$2,Models_Results!$B:$AP,$AC78,FALSE)</f>
        <v>4.9109999999999996</v>
      </c>
      <c r="S78" s="34">
        <f>HLOOKUP(S$2,Models_Results!$B:$AP,$AC78,FALSE)</f>
        <v>5.0250000000000004</v>
      </c>
      <c r="T78" s="34">
        <f>HLOOKUP(T$2,Models_Results!$B:$AP,$AC78,FALSE)</f>
        <v>3.49</v>
      </c>
      <c r="U78" s="34">
        <f>HLOOKUP(U$2,Models_Results!$B:$AP,$AC78,FALSE)</f>
        <v>4.0510000000000002</v>
      </c>
      <c r="V78" s="34">
        <f>HLOOKUP(V$2,Models_Results!$B:$AP,$AC78,FALSE)</f>
        <v>7.2629999999999999</v>
      </c>
      <c r="W78" s="34">
        <f>HLOOKUP(W$2,Models_Results!$B:$AP,$AC78,FALSE)</f>
        <v>7.6619999999999999</v>
      </c>
      <c r="X78" s="34">
        <f>HLOOKUP(X$2,Models_Results!$B:$AP,$AC78,FALSE)</f>
        <v>5.3609999999999998</v>
      </c>
      <c r="Y78" s="34">
        <f>HLOOKUP(Y$2,Models_Results!$B:$AP,$AC78,FALSE)</f>
        <v>5.3529999999999998</v>
      </c>
      <c r="AC78">
        <v>75</v>
      </c>
    </row>
    <row r="79" spans="1:29" x14ac:dyDescent="0.2">
      <c r="A79">
        <f t="shared" si="1"/>
        <v>2043.5</v>
      </c>
      <c r="C79">
        <f>HLOOKUP(C$2,Models_Results!$B:$AP,$AC79,FALSE)</f>
        <v>1.873</v>
      </c>
      <c r="D79">
        <f>HLOOKUP(D$2,Models_Results!$B:$AP,$AC79,FALSE)</f>
        <v>2.1280000000000001</v>
      </c>
      <c r="E79">
        <f>HLOOKUP(E$2,Models_Results!$B:$AP,$AC79,FALSE)</f>
        <v>2.742</v>
      </c>
      <c r="F79">
        <f>HLOOKUP(F$2,Models_Results!$B:$AP,$AC79,FALSE)</f>
        <v>2.2450000000000001</v>
      </c>
      <c r="G79">
        <f>HLOOKUP(G$2,Models_Results!$B:$AP,$AC79,FALSE)</f>
        <v>2.5390000000000001</v>
      </c>
      <c r="H79">
        <f>HLOOKUP(H$2,Models_Results!$B:$AP,$AC79,FALSE)</f>
        <v>3.45</v>
      </c>
      <c r="I79">
        <f>HLOOKUP(I$2,Models_Results!$B:$AP,$AC79,FALSE)</f>
        <v>2.7959999999999998</v>
      </c>
      <c r="J79">
        <f>HLOOKUP(J$2,Models_Results!$B:$AP,$AC79,FALSE)</f>
        <v>4.2510000000000003</v>
      </c>
      <c r="K79">
        <f>HLOOKUP(K$2,Models_Results!$B:$AP,$AC79,FALSE)</f>
        <v>1.2490000000000001</v>
      </c>
      <c r="N79" s="34">
        <f>HLOOKUP(N$2,Models_Results!$B:$AP,$AC79,FALSE)</f>
        <v>3.504</v>
      </c>
      <c r="O79" s="34">
        <f>HLOOKUP(O$2,Models_Results!$B:$AP,$AC79,FALSE)</f>
        <v>4.1159999999999997</v>
      </c>
      <c r="P79" s="34">
        <f>HLOOKUP(P$2,Models_Results!$B:$AP,$AC79,FALSE)</f>
        <v>6.4379999999999997</v>
      </c>
      <c r="Q79" s="34">
        <f>HLOOKUP(Q$2,Models_Results!$B:$AP,$AC79,FALSE)</f>
        <v>6.9470000000000001</v>
      </c>
      <c r="R79" s="34">
        <f>HLOOKUP(R$2,Models_Results!$B:$AP,$AC79,FALSE)</f>
        <v>4.9589999999999996</v>
      </c>
      <c r="S79" s="34">
        <f>HLOOKUP(S$2,Models_Results!$B:$AP,$AC79,FALSE)</f>
        <v>5.1349999999999998</v>
      </c>
      <c r="T79" s="34">
        <f>HLOOKUP(T$2,Models_Results!$B:$AP,$AC79,FALSE)</f>
        <v>3.504</v>
      </c>
      <c r="U79" s="34">
        <f>HLOOKUP(U$2,Models_Results!$B:$AP,$AC79,FALSE)</f>
        <v>4.1159999999999997</v>
      </c>
      <c r="V79" s="34">
        <f>HLOOKUP(V$2,Models_Results!$B:$AP,$AC79,FALSE)</f>
        <v>7.3109999999999999</v>
      </c>
      <c r="W79" s="34">
        <f>HLOOKUP(W$2,Models_Results!$B:$AP,$AC79,FALSE)</f>
        <v>7.8470000000000004</v>
      </c>
      <c r="X79" s="34">
        <f>HLOOKUP(X$2,Models_Results!$B:$AP,$AC79,FALSE)</f>
        <v>5.4180000000000001</v>
      </c>
      <c r="Y79" s="34">
        <f>HLOOKUP(Y$2,Models_Results!$B:$AP,$AC79,FALSE)</f>
        <v>5.4779999999999998</v>
      </c>
      <c r="AC79">
        <v>76</v>
      </c>
    </row>
    <row r="80" spans="1:29" x14ac:dyDescent="0.2">
      <c r="A80">
        <f t="shared" si="1"/>
        <v>2043.75</v>
      </c>
      <c r="C80">
        <f>HLOOKUP(C$2,Models_Results!$B:$AP,$AC80,FALSE)</f>
        <v>1.887</v>
      </c>
      <c r="D80">
        <f>HLOOKUP(D$2,Models_Results!$B:$AP,$AC80,FALSE)</f>
        <v>2.177</v>
      </c>
      <c r="E80">
        <f>HLOOKUP(E$2,Models_Results!$B:$AP,$AC80,FALSE)</f>
        <v>2.7650000000000001</v>
      </c>
      <c r="F80">
        <f>HLOOKUP(F$2,Models_Results!$B:$AP,$AC80,FALSE)</f>
        <v>2.2629999999999999</v>
      </c>
      <c r="G80">
        <f>HLOOKUP(G$2,Models_Results!$B:$AP,$AC80,FALSE)</f>
        <v>2.6040000000000001</v>
      </c>
      <c r="H80">
        <f>HLOOKUP(H$2,Models_Results!$B:$AP,$AC80,FALSE)</f>
        <v>3.4860000000000002</v>
      </c>
      <c r="I80">
        <f>HLOOKUP(I$2,Models_Results!$B:$AP,$AC80,FALSE)</f>
        <v>2.8359999999999999</v>
      </c>
      <c r="J80">
        <f>HLOOKUP(J$2,Models_Results!$B:$AP,$AC80,FALSE)</f>
        <v>4.3209999999999997</v>
      </c>
      <c r="K80">
        <f>HLOOKUP(K$2,Models_Results!$B:$AP,$AC80,FALSE)</f>
        <v>1.2450000000000001</v>
      </c>
      <c r="N80" s="34">
        <f>HLOOKUP(N$2,Models_Results!$B:$AP,$AC80,FALSE)</f>
        <v>3.5169999999999999</v>
      </c>
      <c r="O80" s="34">
        <f>HLOOKUP(O$2,Models_Results!$B:$AP,$AC80,FALSE)</f>
        <v>4.18</v>
      </c>
      <c r="P80" s="34">
        <f>HLOOKUP(P$2,Models_Results!$B:$AP,$AC80,FALSE)</f>
        <v>6.4779999999999998</v>
      </c>
      <c r="Q80" s="34">
        <f>HLOOKUP(Q$2,Models_Results!$B:$AP,$AC80,FALSE)</f>
        <v>7.1029999999999998</v>
      </c>
      <c r="R80" s="34">
        <f>HLOOKUP(R$2,Models_Results!$B:$AP,$AC80,FALSE)</f>
        <v>5.0060000000000002</v>
      </c>
      <c r="S80" s="34">
        <f>HLOOKUP(S$2,Models_Results!$B:$AP,$AC80,FALSE)</f>
        <v>5.2450000000000001</v>
      </c>
      <c r="T80" s="34">
        <f>HLOOKUP(T$2,Models_Results!$B:$AP,$AC80,FALSE)</f>
        <v>3.5169999999999999</v>
      </c>
      <c r="U80" s="34">
        <f>HLOOKUP(U$2,Models_Results!$B:$AP,$AC80,FALSE)</f>
        <v>4.18</v>
      </c>
      <c r="V80" s="34">
        <f>HLOOKUP(V$2,Models_Results!$B:$AP,$AC80,FALSE)</f>
        <v>7.3579999999999997</v>
      </c>
      <c r="W80" s="34">
        <f>HLOOKUP(W$2,Models_Results!$B:$AP,$AC80,FALSE)</f>
        <v>8.0310000000000006</v>
      </c>
      <c r="X80" s="34">
        <f>HLOOKUP(X$2,Models_Results!$B:$AP,$AC80,FALSE)</f>
        <v>5.476</v>
      </c>
      <c r="Y80" s="34">
        <f>HLOOKUP(Y$2,Models_Results!$B:$AP,$AC80,FALSE)</f>
        <v>5.6020000000000003</v>
      </c>
      <c r="AC80">
        <v>77</v>
      </c>
    </row>
    <row r="81" spans="1:29" x14ac:dyDescent="0.2">
      <c r="A81">
        <f t="shared" si="1"/>
        <v>2044</v>
      </c>
      <c r="C81">
        <f>HLOOKUP(C$2,Models_Results!$B:$AP,$AC81,FALSE)</f>
        <v>1.9</v>
      </c>
      <c r="D81">
        <f>HLOOKUP(D$2,Models_Results!$B:$AP,$AC81,FALSE)</f>
        <v>2.2250000000000001</v>
      </c>
      <c r="E81">
        <f>HLOOKUP(E$2,Models_Results!$B:$AP,$AC81,FALSE)</f>
        <v>2.7869999999999999</v>
      </c>
      <c r="F81">
        <f>HLOOKUP(F$2,Models_Results!$B:$AP,$AC81,FALSE)</f>
        <v>2.2810000000000001</v>
      </c>
      <c r="G81">
        <f>HLOOKUP(G$2,Models_Results!$B:$AP,$AC81,FALSE)</f>
        <v>2.67</v>
      </c>
      <c r="H81">
        <f>HLOOKUP(H$2,Models_Results!$B:$AP,$AC81,FALSE)</f>
        <v>3.5209999999999999</v>
      </c>
      <c r="I81">
        <f>HLOOKUP(I$2,Models_Results!$B:$AP,$AC81,FALSE)</f>
        <v>2.875</v>
      </c>
      <c r="J81">
        <f>HLOOKUP(J$2,Models_Results!$B:$AP,$AC81,FALSE)</f>
        <v>4.3890000000000002</v>
      </c>
      <c r="K81">
        <f>HLOOKUP(K$2,Models_Results!$B:$AP,$AC81,FALSE)</f>
        <v>1.242</v>
      </c>
      <c r="N81" s="34">
        <f>HLOOKUP(N$2,Models_Results!$B:$AP,$AC81,FALSE)</f>
        <v>3.53</v>
      </c>
      <c r="O81" s="34">
        <f>HLOOKUP(O$2,Models_Results!$B:$AP,$AC81,FALSE)</f>
        <v>4.2439999999999998</v>
      </c>
      <c r="P81" s="34">
        <f>HLOOKUP(P$2,Models_Results!$B:$AP,$AC81,FALSE)</f>
        <v>6.5170000000000003</v>
      </c>
      <c r="Q81" s="34">
        <f>HLOOKUP(Q$2,Models_Results!$B:$AP,$AC81,FALSE)</f>
        <v>7.2569999999999997</v>
      </c>
      <c r="R81" s="34">
        <f>HLOOKUP(R$2,Models_Results!$B:$AP,$AC81,FALSE)</f>
        <v>5.0529999999999999</v>
      </c>
      <c r="S81" s="34">
        <f>HLOOKUP(S$2,Models_Results!$B:$AP,$AC81,FALSE)</f>
        <v>5.3540000000000001</v>
      </c>
      <c r="T81" s="34">
        <f>HLOOKUP(T$2,Models_Results!$B:$AP,$AC81,FALSE)</f>
        <v>3.53</v>
      </c>
      <c r="U81" s="34">
        <f>HLOOKUP(U$2,Models_Results!$B:$AP,$AC81,FALSE)</f>
        <v>4.2439999999999998</v>
      </c>
      <c r="V81" s="34">
        <f>HLOOKUP(V$2,Models_Results!$B:$AP,$AC81,FALSE)</f>
        <v>7.4039999999999999</v>
      </c>
      <c r="W81" s="34">
        <f>HLOOKUP(W$2,Models_Results!$B:$AP,$AC81,FALSE)</f>
        <v>8.2119999999999997</v>
      </c>
      <c r="X81" s="34">
        <f>HLOOKUP(X$2,Models_Results!$B:$AP,$AC81,FALSE)</f>
        <v>5.5330000000000004</v>
      </c>
      <c r="Y81" s="34">
        <f>HLOOKUP(Y$2,Models_Results!$B:$AP,$AC81,FALSE)</f>
        <v>5.7270000000000003</v>
      </c>
      <c r="AC81">
        <v>78</v>
      </c>
    </row>
    <row r="82" spans="1:29" x14ac:dyDescent="0.2">
      <c r="A82">
        <f t="shared" si="1"/>
        <v>2044.25</v>
      </c>
      <c r="C82">
        <f>HLOOKUP(C$2,Models_Results!$B:$AP,$AC82,FALSE)</f>
        <v>1.913</v>
      </c>
      <c r="D82">
        <f>HLOOKUP(D$2,Models_Results!$B:$AP,$AC82,FALSE)</f>
        <v>2.2730000000000001</v>
      </c>
      <c r="E82">
        <f>HLOOKUP(E$2,Models_Results!$B:$AP,$AC82,FALSE)</f>
        <v>2.81</v>
      </c>
      <c r="F82">
        <f>HLOOKUP(F$2,Models_Results!$B:$AP,$AC82,FALSE)</f>
        <v>2.2989999999999999</v>
      </c>
      <c r="G82">
        <f>HLOOKUP(G$2,Models_Results!$B:$AP,$AC82,FALSE)</f>
        <v>2.7349999999999999</v>
      </c>
      <c r="H82">
        <f>HLOOKUP(H$2,Models_Results!$B:$AP,$AC82,FALSE)</f>
        <v>3.556</v>
      </c>
      <c r="I82">
        <f>HLOOKUP(I$2,Models_Results!$B:$AP,$AC82,FALSE)</f>
        <v>2.9140000000000001</v>
      </c>
      <c r="J82">
        <f>HLOOKUP(J$2,Models_Results!$B:$AP,$AC82,FALSE)</f>
        <v>4.4560000000000004</v>
      </c>
      <c r="K82">
        <f>HLOOKUP(K$2,Models_Results!$B:$AP,$AC82,FALSE)</f>
        <v>1.238</v>
      </c>
      <c r="N82" s="34">
        <f>HLOOKUP(N$2,Models_Results!$B:$AP,$AC82,FALSE)</f>
        <v>3.5430000000000001</v>
      </c>
      <c r="O82" s="34">
        <f>HLOOKUP(O$2,Models_Results!$B:$AP,$AC82,FALSE)</f>
        <v>4.306</v>
      </c>
      <c r="P82" s="34">
        <f>HLOOKUP(P$2,Models_Results!$B:$AP,$AC82,FALSE)</f>
        <v>6.5540000000000003</v>
      </c>
      <c r="Q82" s="34">
        <f>HLOOKUP(Q$2,Models_Results!$B:$AP,$AC82,FALSE)</f>
        <v>7.41</v>
      </c>
      <c r="R82" s="34">
        <f>HLOOKUP(R$2,Models_Results!$B:$AP,$AC82,FALSE)</f>
        <v>5.0999999999999996</v>
      </c>
      <c r="S82" s="34">
        <f>HLOOKUP(S$2,Models_Results!$B:$AP,$AC82,FALSE)</f>
        <v>5.4630000000000001</v>
      </c>
      <c r="T82" s="34">
        <f>HLOOKUP(T$2,Models_Results!$B:$AP,$AC82,FALSE)</f>
        <v>3.5430000000000001</v>
      </c>
      <c r="U82" s="34">
        <f>HLOOKUP(U$2,Models_Results!$B:$AP,$AC82,FALSE)</f>
        <v>4.306</v>
      </c>
      <c r="V82" s="34">
        <f>HLOOKUP(V$2,Models_Results!$B:$AP,$AC82,FALSE)</f>
        <v>7.4480000000000004</v>
      </c>
      <c r="W82" s="34">
        <f>HLOOKUP(W$2,Models_Results!$B:$AP,$AC82,FALSE)</f>
        <v>8.3919999999999995</v>
      </c>
      <c r="X82" s="34">
        <f>HLOOKUP(X$2,Models_Results!$B:$AP,$AC82,FALSE)</f>
        <v>5.59</v>
      </c>
      <c r="Y82" s="34">
        <f>HLOOKUP(Y$2,Models_Results!$B:$AP,$AC82,FALSE)</f>
        <v>5.851</v>
      </c>
      <c r="AC82">
        <v>79</v>
      </c>
    </row>
    <row r="83" spans="1:29" x14ac:dyDescent="0.2">
      <c r="A83">
        <f t="shared" si="1"/>
        <v>2044.5</v>
      </c>
      <c r="C83">
        <f>HLOOKUP(C$2,Models_Results!$B:$AP,$AC83,FALSE)</f>
        <v>1.9259999999999999</v>
      </c>
      <c r="D83">
        <f>HLOOKUP(D$2,Models_Results!$B:$AP,$AC83,FALSE)</f>
        <v>2.3199999999999998</v>
      </c>
      <c r="E83">
        <f>HLOOKUP(E$2,Models_Results!$B:$AP,$AC83,FALSE)</f>
        <v>2.831</v>
      </c>
      <c r="F83">
        <f>HLOOKUP(F$2,Models_Results!$B:$AP,$AC83,FALSE)</f>
        <v>2.3170000000000002</v>
      </c>
      <c r="G83">
        <f>HLOOKUP(G$2,Models_Results!$B:$AP,$AC83,FALSE)</f>
        <v>2.8</v>
      </c>
      <c r="H83">
        <f>HLOOKUP(H$2,Models_Results!$B:$AP,$AC83,FALSE)</f>
        <v>3.589</v>
      </c>
      <c r="I83">
        <f>HLOOKUP(I$2,Models_Results!$B:$AP,$AC83,FALSE)</f>
        <v>2.952</v>
      </c>
      <c r="J83">
        <f>HLOOKUP(J$2,Models_Results!$B:$AP,$AC83,FALSE)</f>
        <v>4.5220000000000002</v>
      </c>
      <c r="K83">
        <f>HLOOKUP(K$2,Models_Results!$B:$AP,$AC83,FALSE)</f>
        <v>1.236</v>
      </c>
      <c r="N83" s="34">
        <f>HLOOKUP(N$2,Models_Results!$B:$AP,$AC83,FALSE)</f>
        <v>3.5550000000000002</v>
      </c>
      <c r="O83" s="34">
        <f>HLOOKUP(O$2,Models_Results!$B:$AP,$AC83,FALSE)</f>
        <v>4.367</v>
      </c>
      <c r="P83" s="34">
        <f>HLOOKUP(P$2,Models_Results!$B:$AP,$AC83,FALSE)</f>
        <v>6.59</v>
      </c>
      <c r="Q83" s="34">
        <f>HLOOKUP(Q$2,Models_Results!$B:$AP,$AC83,FALSE)</f>
        <v>7.56</v>
      </c>
      <c r="R83" s="34">
        <f>HLOOKUP(R$2,Models_Results!$B:$AP,$AC83,FALSE)</f>
        <v>5.1470000000000002</v>
      </c>
      <c r="S83" s="34">
        <f>HLOOKUP(S$2,Models_Results!$B:$AP,$AC83,FALSE)</f>
        <v>5.5720000000000001</v>
      </c>
      <c r="T83" s="34">
        <f>HLOOKUP(T$2,Models_Results!$B:$AP,$AC83,FALSE)</f>
        <v>3.5550000000000002</v>
      </c>
      <c r="U83" s="34">
        <f>HLOOKUP(U$2,Models_Results!$B:$AP,$AC83,FALSE)</f>
        <v>4.367</v>
      </c>
      <c r="V83" s="34">
        <f>HLOOKUP(V$2,Models_Results!$B:$AP,$AC83,FALSE)</f>
        <v>7.49</v>
      </c>
      <c r="W83" s="34">
        <f>HLOOKUP(W$2,Models_Results!$B:$AP,$AC83,FALSE)</f>
        <v>8.57</v>
      </c>
      <c r="X83" s="34">
        <f>HLOOKUP(X$2,Models_Results!$B:$AP,$AC83,FALSE)</f>
        <v>5.6459999999999999</v>
      </c>
      <c r="Y83" s="34">
        <f>HLOOKUP(Y$2,Models_Results!$B:$AP,$AC83,FALSE)</f>
        <v>5.9749999999999996</v>
      </c>
      <c r="AC83">
        <v>80</v>
      </c>
    </row>
    <row r="84" spans="1:29" x14ac:dyDescent="0.2">
      <c r="A84">
        <f t="shared" si="1"/>
        <v>2044.75</v>
      </c>
      <c r="C84">
        <f>HLOOKUP(C$2,Models_Results!$B:$AP,$AC84,FALSE)</f>
        <v>1.9379999999999999</v>
      </c>
      <c r="D84">
        <f>HLOOKUP(D$2,Models_Results!$B:$AP,$AC84,FALSE)</f>
        <v>2.367</v>
      </c>
      <c r="E84">
        <f>HLOOKUP(E$2,Models_Results!$B:$AP,$AC84,FALSE)</f>
        <v>2.8519999999999999</v>
      </c>
      <c r="F84">
        <f>HLOOKUP(F$2,Models_Results!$B:$AP,$AC84,FALSE)</f>
        <v>2.3340000000000001</v>
      </c>
      <c r="G84">
        <f>HLOOKUP(G$2,Models_Results!$B:$AP,$AC84,FALSE)</f>
        <v>2.8639999999999999</v>
      </c>
      <c r="H84">
        <f>HLOOKUP(H$2,Models_Results!$B:$AP,$AC84,FALSE)</f>
        <v>3.6230000000000002</v>
      </c>
      <c r="I84">
        <f>HLOOKUP(I$2,Models_Results!$B:$AP,$AC84,FALSE)</f>
        <v>2.99</v>
      </c>
      <c r="J84">
        <f>HLOOKUP(J$2,Models_Results!$B:$AP,$AC84,FALSE)</f>
        <v>4.5860000000000003</v>
      </c>
      <c r="K84">
        <f>HLOOKUP(K$2,Models_Results!$B:$AP,$AC84,FALSE)</f>
        <v>1.2330000000000001</v>
      </c>
      <c r="N84" s="34">
        <f>HLOOKUP(N$2,Models_Results!$B:$AP,$AC84,FALSE)</f>
        <v>3.5670000000000002</v>
      </c>
      <c r="O84" s="34">
        <f>HLOOKUP(O$2,Models_Results!$B:$AP,$AC84,FALSE)</f>
        <v>4.4269999999999996</v>
      </c>
      <c r="P84" s="34">
        <f>HLOOKUP(P$2,Models_Results!$B:$AP,$AC84,FALSE)</f>
        <v>6.625</v>
      </c>
      <c r="Q84" s="34">
        <f>HLOOKUP(Q$2,Models_Results!$B:$AP,$AC84,FALSE)</f>
        <v>7.7089999999999996</v>
      </c>
      <c r="R84" s="34">
        <f>HLOOKUP(R$2,Models_Results!$B:$AP,$AC84,FALSE)</f>
        <v>5.1929999999999996</v>
      </c>
      <c r="S84" s="34">
        <f>HLOOKUP(S$2,Models_Results!$B:$AP,$AC84,FALSE)</f>
        <v>5.681</v>
      </c>
      <c r="T84" s="34">
        <f>HLOOKUP(T$2,Models_Results!$B:$AP,$AC84,FALSE)</f>
        <v>3.5670000000000002</v>
      </c>
      <c r="U84" s="34">
        <f>HLOOKUP(U$2,Models_Results!$B:$AP,$AC84,FALSE)</f>
        <v>4.4269999999999996</v>
      </c>
      <c r="V84" s="34">
        <f>HLOOKUP(V$2,Models_Results!$B:$AP,$AC84,FALSE)</f>
        <v>7.5309999999999997</v>
      </c>
      <c r="W84" s="34">
        <f>HLOOKUP(W$2,Models_Results!$B:$AP,$AC84,FALSE)</f>
        <v>8.7460000000000004</v>
      </c>
      <c r="X84" s="34">
        <f>HLOOKUP(X$2,Models_Results!$B:$AP,$AC84,FALSE)</f>
        <v>5.7030000000000003</v>
      </c>
      <c r="Y84" s="34">
        <f>HLOOKUP(Y$2,Models_Results!$B:$AP,$AC84,FALSE)</f>
        <v>6.0990000000000002</v>
      </c>
      <c r="AC84">
        <v>81</v>
      </c>
    </row>
    <row r="85" spans="1:29" x14ac:dyDescent="0.2">
      <c r="A85">
        <f t="shared" si="1"/>
        <v>2045</v>
      </c>
      <c r="C85">
        <f>HLOOKUP(C$2,Models_Results!$B:$AP,$AC85,FALSE)</f>
        <v>1.9510000000000001</v>
      </c>
      <c r="D85">
        <f>HLOOKUP(D$2,Models_Results!$B:$AP,$AC85,FALSE)</f>
        <v>2.4140000000000001</v>
      </c>
      <c r="E85">
        <f>HLOOKUP(E$2,Models_Results!$B:$AP,$AC85,FALSE)</f>
        <v>2.8730000000000002</v>
      </c>
      <c r="F85">
        <f>HLOOKUP(F$2,Models_Results!$B:$AP,$AC85,FALSE)</f>
        <v>2.351</v>
      </c>
      <c r="G85">
        <f>HLOOKUP(G$2,Models_Results!$B:$AP,$AC85,FALSE)</f>
        <v>2.9289999999999998</v>
      </c>
      <c r="H85">
        <f>HLOOKUP(H$2,Models_Results!$B:$AP,$AC85,FALSE)</f>
        <v>3.6549999999999998</v>
      </c>
      <c r="I85">
        <f>HLOOKUP(I$2,Models_Results!$B:$AP,$AC85,FALSE)</f>
        <v>3.028</v>
      </c>
      <c r="J85">
        <f>HLOOKUP(J$2,Models_Results!$B:$AP,$AC85,FALSE)</f>
        <v>4.649</v>
      </c>
      <c r="K85">
        <f>HLOOKUP(K$2,Models_Results!$B:$AP,$AC85,FALSE)</f>
        <v>1.2310000000000001</v>
      </c>
      <c r="N85" s="34">
        <f>HLOOKUP(N$2,Models_Results!$B:$AP,$AC85,FALSE)</f>
        <v>3.5790000000000002</v>
      </c>
      <c r="O85" s="34">
        <f>HLOOKUP(O$2,Models_Results!$B:$AP,$AC85,FALSE)</f>
        <v>4.4859999999999998</v>
      </c>
      <c r="P85" s="34">
        <f>HLOOKUP(P$2,Models_Results!$B:$AP,$AC85,FALSE)</f>
        <v>6.6589999999999998</v>
      </c>
      <c r="Q85" s="34">
        <f>HLOOKUP(Q$2,Models_Results!$B:$AP,$AC85,FALSE)</f>
        <v>7.8559999999999999</v>
      </c>
      <c r="R85" s="34">
        <f>HLOOKUP(R$2,Models_Results!$B:$AP,$AC85,FALSE)</f>
        <v>5.2389999999999999</v>
      </c>
      <c r="S85" s="34">
        <f>HLOOKUP(S$2,Models_Results!$B:$AP,$AC85,FALSE)</f>
        <v>5.7889999999999997</v>
      </c>
      <c r="T85" s="34">
        <f>HLOOKUP(T$2,Models_Results!$B:$AP,$AC85,FALSE)</f>
        <v>3.5790000000000002</v>
      </c>
      <c r="U85" s="34">
        <f>HLOOKUP(U$2,Models_Results!$B:$AP,$AC85,FALSE)</f>
        <v>4.4859999999999998</v>
      </c>
      <c r="V85" s="34">
        <f>HLOOKUP(V$2,Models_Results!$B:$AP,$AC85,FALSE)</f>
        <v>7.5709999999999997</v>
      </c>
      <c r="W85" s="34">
        <f>HLOOKUP(W$2,Models_Results!$B:$AP,$AC85,FALSE)</f>
        <v>8.9190000000000005</v>
      </c>
      <c r="X85" s="34">
        <f>HLOOKUP(X$2,Models_Results!$B:$AP,$AC85,FALSE)</f>
        <v>5.7590000000000003</v>
      </c>
      <c r="Y85" s="34">
        <f>HLOOKUP(Y$2,Models_Results!$B:$AP,$AC85,FALSE)</f>
        <v>6.2229999999999999</v>
      </c>
      <c r="AC85">
        <v>82</v>
      </c>
    </row>
    <row r="86" spans="1:29" x14ac:dyDescent="0.2">
      <c r="A86">
        <f t="shared" si="1"/>
        <v>2045.25</v>
      </c>
      <c r="C86">
        <f>HLOOKUP(C$2,Models_Results!$B:$AP,$AC86,FALSE)</f>
        <v>1.9630000000000001</v>
      </c>
      <c r="D86">
        <f>HLOOKUP(D$2,Models_Results!$B:$AP,$AC86,FALSE)</f>
        <v>2.4609999999999999</v>
      </c>
      <c r="E86">
        <f>HLOOKUP(E$2,Models_Results!$B:$AP,$AC86,FALSE)</f>
        <v>2.8940000000000001</v>
      </c>
      <c r="F86">
        <f>HLOOKUP(F$2,Models_Results!$B:$AP,$AC86,FALSE)</f>
        <v>2.367</v>
      </c>
      <c r="G86">
        <f>HLOOKUP(G$2,Models_Results!$B:$AP,$AC86,FALSE)</f>
        <v>2.9929999999999999</v>
      </c>
      <c r="H86">
        <f>HLOOKUP(H$2,Models_Results!$B:$AP,$AC86,FALSE)</f>
        <v>3.6869999999999998</v>
      </c>
      <c r="I86">
        <f>HLOOKUP(I$2,Models_Results!$B:$AP,$AC86,FALSE)</f>
        <v>3.0649999999999999</v>
      </c>
      <c r="J86">
        <f>HLOOKUP(J$2,Models_Results!$B:$AP,$AC86,FALSE)</f>
        <v>4.7119999999999997</v>
      </c>
      <c r="K86">
        <f>HLOOKUP(K$2,Models_Results!$B:$AP,$AC86,FALSE)</f>
        <v>1.2290000000000001</v>
      </c>
      <c r="N86" s="34">
        <f>HLOOKUP(N$2,Models_Results!$B:$AP,$AC86,FALSE)</f>
        <v>3.59</v>
      </c>
      <c r="O86" s="34">
        <f>HLOOKUP(O$2,Models_Results!$B:$AP,$AC86,FALSE)</f>
        <v>4.5449999999999999</v>
      </c>
      <c r="P86" s="34">
        <f>HLOOKUP(P$2,Models_Results!$B:$AP,$AC86,FALSE)</f>
        <v>6.6909999999999998</v>
      </c>
      <c r="Q86" s="34">
        <f>HLOOKUP(Q$2,Models_Results!$B:$AP,$AC86,FALSE)</f>
        <v>8.0020000000000007</v>
      </c>
      <c r="R86" s="34">
        <f>HLOOKUP(R$2,Models_Results!$B:$AP,$AC86,FALSE)</f>
        <v>5.2850000000000001</v>
      </c>
      <c r="S86" s="34">
        <f>HLOOKUP(S$2,Models_Results!$B:$AP,$AC86,FALSE)</f>
        <v>5.8970000000000002</v>
      </c>
      <c r="T86" s="34">
        <f>HLOOKUP(T$2,Models_Results!$B:$AP,$AC86,FALSE)</f>
        <v>3.59</v>
      </c>
      <c r="U86" s="34">
        <f>HLOOKUP(U$2,Models_Results!$B:$AP,$AC86,FALSE)</f>
        <v>4.5449999999999999</v>
      </c>
      <c r="V86" s="34">
        <f>HLOOKUP(V$2,Models_Results!$B:$AP,$AC86,FALSE)</f>
        <v>7.61</v>
      </c>
      <c r="W86" s="34">
        <f>HLOOKUP(W$2,Models_Results!$B:$AP,$AC86,FALSE)</f>
        <v>9.0909999999999993</v>
      </c>
      <c r="X86" s="34">
        <f>HLOOKUP(X$2,Models_Results!$B:$AP,$AC86,FALSE)</f>
        <v>5.8150000000000004</v>
      </c>
      <c r="Y86" s="34">
        <f>HLOOKUP(Y$2,Models_Results!$B:$AP,$AC86,FALSE)</f>
        <v>6.3470000000000004</v>
      </c>
      <c r="AC86">
        <v>83</v>
      </c>
    </row>
    <row r="87" spans="1:29" x14ac:dyDescent="0.2">
      <c r="A87">
        <f t="shared" si="1"/>
        <v>2045.5</v>
      </c>
      <c r="C87">
        <f>HLOOKUP(C$2,Models_Results!$B:$AP,$AC87,FALSE)</f>
        <v>1.9750000000000001</v>
      </c>
      <c r="D87">
        <f>HLOOKUP(D$2,Models_Results!$B:$AP,$AC87,FALSE)</f>
        <v>2.5070000000000001</v>
      </c>
      <c r="E87">
        <f>HLOOKUP(E$2,Models_Results!$B:$AP,$AC87,FALSE)</f>
        <v>2.9140000000000001</v>
      </c>
      <c r="F87">
        <f>HLOOKUP(F$2,Models_Results!$B:$AP,$AC87,FALSE)</f>
        <v>2.383</v>
      </c>
      <c r="G87">
        <f>HLOOKUP(G$2,Models_Results!$B:$AP,$AC87,FALSE)</f>
        <v>3.0569999999999999</v>
      </c>
      <c r="H87">
        <f>HLOOKUP(H$2,Models_Results!$B:$AP,$AC87,FALSE)</f>
        <v>3.718</v>
      </c>
      <c r="I87">
        <f>HLOOKUP(I$2,Models_Results!$B:$AP,$AC87,FALSE)</f>
        <v>3.1019999999999999</v>
      </c>
      <c r="J87">
        <f>HLOOKUP(J$2,Models_Results!$B:$AP,$AC87,FALSE)</f>
        <v>4.7729999999999997</v>
      </c>
      <c r="K87">
        <f>HLOOKUP(K$2,Models_Results!$B:$AP,$AC87,FALSE)</f>
        <v>1.228</v>
      </c>
      <c r="N87" s="34">
        <f>HLOOKUP(N$2,Models_Results!$B:$AP,$AC87,FALSE)</f>
        <v>3.601</v>
      </c>
      <c r="O87" s="34">
        <f>HLOOKUP(O$2,Models_Results!$B:$AP,$AC87,FALSE)</f>
        <v>4.6020000000000003</v>
      </c>
      <c r="P87" s="34">
        <f>HLOOKUP(P$2,Models_Results!$B:$AP,$AC87,FALSE)</f>
        <v>6.7229999999999999</v>
      </c>
      <c r="Q87" s="34">
        <f>HLOOKUP(Q$2,Models_Results!$B:$AP,$AC87,FALSE)</f>
        <v>8.1449999999999996</v>
      </c>
      <c r="R87" s="34">
        <f>HLOOKUP(R$2,Models_Results!$B:$AP,$AC87,FALSE)</f>
        <v>5.3310000000000004</v>
      </c>
      <c r="S87" s="34">
        <f>HLOOKUP(S$2,Models_Results!$B:$AP,$AC87,FALSE)</f>
        <v>6.0039999999999996</v>
      </c>
      <c r="T87" s="34">
        <f>HLOOKUP(T$2,Models_Results!$B:$AP,$AC87,FALSE)</f>
        <v>3.601</v>
      </c>
      <c r="U87" s="34">
        <f>HLOOKUP(U$2,Models_Results!$B:$AP,$AC87,FALSE)</f>
        <v>4.6020000000000003</v>
      </c>
      <c r="V87" s="34">
        <f>HLOOKUP(V$2,Models_Results!$B:$AP,$AC87,FALSE)</f>
        <v>7.6470000000000002</v>
      </c>
      <c r="W87" s="34">
        <f>HLOOKUP(W$2,Models_Results!$B:$AP,$AC87,FALSE)</f>
        <v>9.26</v>
      </c>
      <c r="X87" s="34">
        <f>HLOOKUP(X$2,Models_Results!$B:$AP,$AC87,FALSE)</f>
        <v>5.8710000000000004</v>
      </c>
      <c r="Y87" s="34">
        <f>HLOOKUP(Y$2,Models_Results!$B:$AP,$AC87,FALSE)</f>
        <v>6.47</v>
      </c>
      <c r="AC87">
        <v>84</v>
      </c>
    </row>
    <row r="88" spans="1:29" x14ac:dyDescent="0.2">
      <c r="A88">
        <f t="shared" si="1"/>
        <v>2045.75</v>
      </c>
      <c r="C88">
        <f>HLOOKUP(C$2,Models_Results!$B:$AP,$AC88,FALSE)</f>
        <v>1.986</v>
      </c>
      <c r="D88">
        <f>HLOOKUP(D$2,Models_Results!$B:$AP,$AC88,FALSE)</f>
        <v>2.5529999999999999</v>
      </c>
      <c r="E88">
        <f>HLOOKUP(E$2,Models_Results!$B:$AP,$AC88,FALSE)</f>
        <v>2.9329999999999998</v>
      </c>
      <c r="F88">
        <f>HLOOKUP(F$2,Models_Results!$B:$AP,$AC88,FALSE)</f>
        <v>2.399</v>
      </c>
      <c r="G88">
        <f>HLOOKUP(G$2,Models_Results!$B:$AP,$AC88,FALSE)</f>
        <v>3.12</v>
      </c>
      <c r="H88">
        <f>HLOOKUP(H$2,Models_Results!$B:$AP,$AC88,FALSE)</f>
        <v>3.7490000000000001</v>
      </c>
      <c r="I88">
        <f>HLOOKUP(I$2,Models_Results!$B:$AP,$AC88,FALSE)</f>
        <v>3.1379999999999999</v>
      </c>
      <c r="J88">
        <f>HLOOKUP(J$2,Models_Results!$B:$AP,$AC88,FALSE)</f>
        <v>4.8330000000000002</v>
      </c>
      <c r="K88">
        <f>HLOOKUP(K$2,Models_Results!$B:$AP,$AC88,FALSE)</f>
        <v>1.226</v>
      </c>
      <c r="N88" s="34">
        <f>HLOOKUP(N$2,Models_Results!$B:$AP,$AC88,FALSE)</f>
        <v>3.6110000000000002</v>
      </c>
      <c r="O88" s="34">
        <f>HLOOKUP(O$2,Models_Results!$B:$AP,$AC88,FALSE)</f>
        <v>4.6580000000000004</v>
      </c>
      <c r="P88" s="34">
        <f>HLOOKUP(P$2,Models_Results!$B:$AP,$AC88,FALSE)</f>
        <v>6.7539999999999996</v>
      </c>
      <c r="Q88" s="34">
        <f>HLOOKUP(Q$2,Models_Results!$B:$AP,$AC88,FALSE)</f>
        <v>8.2859999999999996</v>
      </c>
      <c r="R88" s="34">
        <f>HLOOKUP(R$2,Models_Results!$B:$AP,$AC88,FALSE)</f>
        <v>5.3769999999999998</v>
      </c>
      <c r="S88" s="34">
        <f>HLOOKUP(S$2,Models_Results!$B:$AP,$AC88,FALSE)</f>
        <v>6.1109999999999998</v>
      </c>
      <c r="T88" s="34">
        <f>HLOOKUP(T$2,Models_Results!$B:$AP,$AC88,FALSE)</f>
        <v>3.6110000000000002</v>
      </c>
      <c r="U88" s="34">
        <f>HLOOKUP(U$2,Models_Results!$B:$AP,$AC88,FALSE)</f>
        <v>4.6580000000000004</v>
      </c>
      <c r="V88" s="34">
        <f>HLOOKUP(V$2,Models_Results!$B:$AP,$AC88,FALSE)</f>
        <v>7.6829999999999998</v>
      </c>
      <c r="W88" s="34">
        <f>HLOOKUP(W$2,Models_Results!$B:$AP,$AC88,FALSE)</f>
        <v>9.4269999999999996</v>
      </c>
      <c r="X88" s="34">
        <f>HLOOKUP(X$2,Models_Results!$B:$AP,$AC88,FALSE)</f>
        <v>5.9260000000000002</v>
      </c>
      <c r="Y88" s="34">
        <f>HLOOKUP(Y$2,Models_Results!$B:$AP,$AC88,FALSE)</f>
        <v>6.5940000000000003</v>
      </c>
      <c r="AC88">
        <v>85</v>
      </c>
    </row>
    <row r="89" spans="1:29" x14ac:dyDescent="0.2">
      <c r="A89">
        <f t="shared" si="1"/>
        <v>2046</v>
      </c>
      <c r="C89">
        <f>HLOOKUP(C$2,Models_Results!$B:$AP,$AC89,FALSE)</f>
        <v>1.998</v>
      </c>
      <c r="D89">
        <f>HLOOKUP(D$2,Models_Results!$B:$AP,$AC89,FALSE)</f>
        <v>2.5990000000000002</v>
      </c>
      <c r="E89">
        <f>HLOOKUP(E$2,Models_Results!$B:$AP,$AC89,FALSE)</f>
        <v>2.952</v>
      </c>
      <c r="F89">
        <f>HLOOKUP(F$2,Models_Results!$B:$AP,$AC89,FALSE)</f>
        <v>2.415</v>
      </c>
      <c r="G89">
        <f>HLOOKUP(G$2,Models_Results!$B:$AP,$AC89,FALSE)</f>
        <v>3.1829999999999998</v>
      </c>
      <c r="H89">
        <f>HLOOKUP(H$2,Models_Results!$B:$AP,$AC89,FALSE)</f>
        <v>3.7789999999999999</v>
      </c>
      <c r="I89">
        <f>HLOOKUP(I$2,Models_Results!$B:$AP,$AC89,FALSE)</f>
        <v>3.1739999999999999</v>
      </c>
      <c r="J89">
        <f>HLOOKUP(J$2,Models_Results!$B:$AP,$AC89,FALSE)</f>
        <v>4.891</v>
      </c>
      <c r="K89">
        <f>HLOOKUP(K$2,Models_Results!$B:$AP,$AC89,FALSE)</f>
        <v>1.226</v>
      </c>
      <c r="N89" s="34">
        <f>HLOOKUP(N$2,Models_Results!$B:$AP,$AC89,FALSE)</f>
        <v>3.6219999999999999</v>
      </c>
      <c r="O89" s="34">
        <f>HLOOKUP(O$2,Models_Results!$B:$AP,$AC89,FALSE)</f>
        <v>4.7130000000000001</v>
      </c>
      <c r="P89" s="34">
        <f>HLOOKUP(P$2,Models_Results!$B:$AP,$AC89,FALSE)</f>
        <v>6.7830000000000004</v>
      </c>
      <c r="Q89" s="34">
        <f>HLOOKUP(Q$2,Models_Results!$B:$AP,$AC89,FALSE)</f>
        <v>8.4260000000000002</v>
      </c>
      <c r="R89" s="34">
        <f>HLOOKUP(R$2,Models_Results!$B:$AP,$AC89,FALSE)</f>
        <v>5.4219999999999997</v>
      </c>
      <c r="S89" s="34">
        <f>HLOOKUP(S$2,Models_Results!$B:$AP,$AC89,FALSE)</f>
        <v>6.218</v>
      </c>
      <c r="T89" s="34">
        <f>HLOOKUP(T$2,Models_Results!$B:$AP,$AC89,FALSE)</f>
        <v>3.6219999999999999</v>
      </c>
      <c r="U89" s="34">
        <f>HLOOKUP(U$2,Models_Results!$B:$AP,$AC89,FALSE)</f>
        <v>4.7130000000000001</v>
      </c>
      <c r="V89" s="34">
        <f>HLOOKUP(V$2,Models_Results!$B:$AP,$AC89,FALSE)</f>
        <v>7.718</v>
      </c>
      <c r="W89" s="34">
        <f>HLOOKUP(W$2,Models_Results!$B:$AP,$AC89,FALSE)</f>
        <v>9.5920000000000005</v>
      </c>
      <c r="X89" s="34">
        <f>HLOOKUP(X$2,Models_Results!$B:$AP,$AC89,FALSE)</f>
        <v>5.9820000000000002</v>
      </c>
      <c r="Y89" s="34">
        <f>HLOOKUP(Y$2,Models_Results!$B:$AP,$AC89,FALSE)</f>
        <v>6.7169999999999996</v>
      </c>
      <c r="AC89">
        <v>86</v>
      </c>
    </row>
    <row r="90" spans="1:29" x14ac:dyDescent="0.2">
      <c r="A90">
        <f t="shared" si="1"/>
        <v>2046.25</v>
      </c>
      <c r="C90">
        <f>HLOOKUP(C$2,Models_Results!$B:$AP,$AC90,FALSE)</f>
        <v>2.0089999999999999</v>
      </c>
      <c r="D90">
        <f>HLOOKUP(D$2,Models_Results!$B:$AP,$AC90,FALSE)</f>
        <v>2.645</v>
      </c>
      <c r="E90">
        <f>HLOOKUP(E$2,Models_Results!$B:$AP,$AC90,FALSE)</f>
        <v>2.9710000000000001</v>
      </c>
      <c r="F90">
        <f>HLOOKUP(F$2,Models_Results!$B:$AP,$AC90,FALSE)</f>
        <v>2.4300000000000002</v>
      </c>
      <c r="G90">
        <f>HLOOKUP(G$2,Models_Results!$B:$AP,$AC90,FALSE)</f>
        <v>3.246</v>
      </c>
      <c r="H90">
        <f>HLOOKUP(H$2,Models_Results!$B:$AP,$AC90,FALSE)</f>
        <v>3.8079999999999998</v>
      </c>
      <c r="I90">
        <f>HLOOKUP(I$2,Models_Results!$B:$AP,$AC90,FALSE)</f>
        <v>3.21</v>
      </c>
      <c r="J90">
        <f>HLOOKUP(J$2,Models_Results!$B:$AP,$AC90,FALSE)</f>
        <v>4.9489999999999998</v>
      </c>
      <c r="K90">
        <f>HLOOKUP(K$2,Models_Results!$B:$AP,$AC90,FALSE)</f>
        <v>1.2250000000000001</v>
      </c>
      <c r="N90" s="34">
        <f>HLOOKUP(N$2,Models_Results!$B:$AP,$AC90,FALSE)</f>
        <v>3.6309999999999998</v>
      </c>
      <c r="O90" s="34">
        <f>HLOOKUP(O$2,Models_Results!$B:$AP,$AC90,FALSE)</f>
        <v>4.7670000000000003</v>
      </c>
      <c r="P90" s="34">
        <f>HLOOKUP(P$2,Models_Results!$B:$AP,$AC90,FALSE)</f>
        <v>6.8120000000000003</v>
      </c>
      <c r="Q90" s="34">
        <f>HLOOKUP(Q$2,Models_Results!$B:$AP,$AC90,FALSE)</f>
        <v>8.5630000000000006</v>
      </c>
      <c r="R90" s="34">
        <f>HLOOKUP(R$2,Models_Results!$B:$AP,$AC90,FALSE)</f>
        <v>5.4669999999999996</v>
      </c>
      <c r="S90" s="34">
        <f>HLOOKUP(S$2,Models_Results!$B:$AP,$AC90,FALSE)</f>
        <v>6.3239999999999998</v>
      </c>
      <c r="T90" s="34">
        <f>HLOOKUP(T$2,Models_Results!$B:$AP,$AC90,FALSE)</f>
        <v>3.6309999999999998</v>
      </c>
      <c r="U90" s="34">
        <f>HLOOKUP(U$2,Models_Results!$B:$AP,$AC90,FALSE)</f>
        <v>4.7670000000000003</v>
      </c>
      <c r="V90" s="34">
        <f>HLOOKUP(V$2,Models_Results!$B:$AP,$AC90,FALSE)</f>
        <v>7.7519999999999998</v>
      </c>
      <c r="W90" s="34">
        <f>HLOOKUP(W$2,Models_Results!$B:$AP,$AC90,FALSE)</f>
        <v>9.7539999999999996</v>
      </c>
      <c r="X90" s="34">
        <f>HLOOKUP(X$2,Models_Results!$B:$AP,$AC90,FALSE)</f>
        <v>6.0369999999999999</v>
      </c>
      <c r="Y90" s="34">
        <f>HLOOKUP(Y$2,Models_Results!$B:$AP,$AC90,FALSE)</f>
        <v>6.84</v>
      </c>
      <c r="AC90">
        <v>87</v>
      </c>
    </row>
    <row r="91" spans="1:29" x14ac:dyDescent="0.2">
      <c r="A91">
        <f t="shared" si="1"/>
        <v>2046.5</v>
      </c>
      <c r="C91">
        <f>HLOOKUP(C$2,Models_Results!$B:$AP,$AC91,FALSE)</f>
        <v>2.02</v>
      </c>
      <c r="D91">
        <f>HLOOKUP(D$2,Models_Results!$B:$AP,$AC91,FALSE)</f>
        <v>2.69</v>
      </c>
      <c r="E91">
        <f>HLOOKUP(E$2,Models_Results!$B:$AP,$AC91,FALSE)</f>
        <v>2.99</v>
      </c>
      <c r="F91">
        <f>HLOOKUP(F$2,Models_Results!$B:$AP,$AC91,FALSE)</f>
        <v>2.4449999999999998</v>
      </c>
      <c r="G91">
        <f>HLOOKUP(G$2,Models_Results!$B:$AP,$AC91,FALSE)</f>
        <v>3.3090000000000002</v>
      </c>
      <c r="H91">
        <f>HLOOKUP(H$2,Models_Results!$B:$AP,$AC91,FALSE)</f>
        <v>3.8370000000000002</v>
      </c>
      <c r="I91">
        <f>HLOOKUP(I$2,Models_Results!$B:$AP,$AC91,FALSE)</f>
        <v>3.2450000000000001</v>
      </c>
      <c r="J91">
        <f>HLOOKUP(J$2,Models_Results!$B:$AP,$AC91,FALSE)</f>
        <v>5.0060000000000002</v>
      </c>
      <c r="K91">
        <f>HLOOKUP(K$2,Models_Results!$B:$AP,$AC91,FALSE)</f>
        <v>1.224</v>
      </c>
      <c r="N91" s="34">
        <f>HLOOKUP(N$2,Models_Results!$B:$AP,$AC91,FALSE)</f>
        <v>3.641</v>
      </c>
      <c r="O91" s="34">
        <f>HLOOKUP(O$2,Models_Results!$B:$AP,$AC91,FALSE)</f>
        <v>4.82</v>
      </c>
      <c r="P91" s="34">
        <f>HLOOKUP(P$2,Models_Results!$B:$AP,$AC91,FALSE)</f>
        <v>6.84</v>
      </c>
      <c r="Q91" s="34">
        <f>HLOOKUP(Q$2,Models_Results!$B:$AP,$AC91,FALSE)</f>
        <v>8.6989999999999998</v>
      </c>
      <c r="R91" s="34">
        <f>HLOOKUP(R$2,Models_Results!$B:$AP,$AC91,FALSE)</f>
        <v>5.5129999999999999</v>
      </c>
      <c r="S91" s="34">
        <f>HLOOKUP(S$2,Models_Results!$B:$AP,$AC91,FALSE)</f>
        <v>6.43</v>
      </c>
      <c r="T91" s="34">
        <f>HLOOKUP(T$2,Models_Results!$B:$AP,$AC91,FALSE)</f>
        <v>3.641</v>
      </c>
      <c r="U91" s="34">
        <f>HLOOKUP(U$2,Models_Results!$B:$AP,$AC91,FALSE)</f>
        <v>4.82</v>
      </c>
      <c r="V91" s="34">
        <f>HLOOKUP(V$2,Models_Results!$B:$AP,$AC91,FALSE)</f>
        <v>7.7850000000000001</v>
      </c>
      <c r="W91" s="34">
        <f>HLOOKUP(W$2,Models_Results!$B:$AP,$AC91,FALSE)</f>
        <v>9.9149999999999991</v>
      </c>
      <c r="X91" s="34">
        <f>HLOOKUP(X$2,Models_Results!$B:$AP,$AC91,FALSE)</f>
        <v>6.093</v>
      </c>
      <c r="Y91" s="34">
        <f>HLOOKUP(Y$2,Models_Results!$B:$AP,$AC91,FALSE)</f>
        <v>6.9619999999999997</v>
      </c>
      <c r="AC91">
        <v>88</v>
      </c>
    </row>
    <row r="92" spans="1:29" x14ac:dyDescent="0.2">
      <c r="A92">
        <f t="shared" si="1"/>
        <v>2046.75</v>
      </c>
      <c r="C92">
        <f>HLOOKUP(C$2,Models_Results!$B:$AP,$AC92,FALSE)</f>
        <v>2.0310000000000001</v>
      </c>
      <c r="D92">
        <f>HLOOKUP(D$2,Models_Results!$B:$AP,$AC92,FALSE)</f>
        <v>2.7349999999999999</v>
      </c>
      <c r="E92">
        <f>HLOOKUP(E$2,Models_Results!$B:$AP,$AC92,FALSE)</f>
        <v>3.008</v>
      </c>
      <c r="F92">
        <f>HLOOKUP(F$2,Models_Results!$B:$AP,$AC92,FALSE)</f>
        <v>2.46</v>
      </c>
      <c r="G92">
        <f>HLOOKUP(G$2,Models_Results!$B:$AP,$AC92,FALSE)</f>
        <v>3.371</v>
      </c>
      <c r="H92">
        <f>HLOOKUP(H$2,Models_Results!$B:$AP,$AC92,FALSE)</f>
        <v>3.8650000000000002</v>
      </c>
      <c r="I92">
        <f>HLOOKUP(I$2,Models_Results!$B:$AP,$AC92,FALSE)</f>
        <v>3.28</v>
      </c>
      <c r="J92">
        <f>HLOOKUP(J$2,Models_Results!$B:$AP,$AC92,FALSE)</f>
        <v>5.0609999999999999</v>
      </c>
      <c r="K92">
        <f>HLOOKUP(K$2,Models_Results!$B:$AP,$AC92,FALSE)</f>
        <v>1.224</v>
      </c>
      <c r="N92" s="34">
        <f>HLOOKUP(N$2,Models_Results!$B:$AP,$AC92,FALSE)</f>
        <v>3.65</v>
      </c>
      <c r="O92" s="34">
        <f>HLOOKUP(O$2,Models_Results!$B:$AP,$AC92,FALSE)</f>
        <v>4.8719999999999999</v>
      </c>
      <c r="P92" s="34">
        <f>HLOOKUP(P$2,Models_Results!$B:$AP,$AC92,FALSE)</f>
        <v>6.867</v>
      </c>
      <c r="Q92" s="34">
        <f>HLOOKUP(Q$2,Models_Results!$B:$AP,$AC92,FALSE)</f>
        <v>8.8320000000000007</v>
      </c>
      <c r="R92" s="34">
        <f>HLOOKUP(R$2,Models_Results!$B:$AP,$AC92,FALSE)</f>
        <v>5.5579999999999998</v>
      </c>
      <c r="S92" s="34">
        <f>HLOOKUP(S$2,Models_Results!$B:$AP,$AC92,FALSE)</f>
        <v>6.5359999999999996</v>
      </c>
      <c r="T92" s="34">
        <f>HLOOKUP(T$2,Models_Results!$B:$AP,$AC92,FALSE)</f>
        <v>3.65</v>
      </c>
      <c r="U92" s="34">
        <f>HLOOKUP(U$2,Models_Results!$B:$AP,$AC92,FALSE)</f>
        <v>4.8719999999999999</v>
      </c>
      <c r="V92" s="34">
        <f>HLOOKUP(V$2,Models_Results!$B:$AP,$AC92,FALSE)</f>
        <v>7.8170000000000002</v>
      </c>
      <c r="W92" s="34">
        <f>HLOOKUP(W$2,Models_Results!$B:$AP,$AC92,FALSE)</f>
        <v>10.073</v>
      </c>
      <c r="X92" s="34">
        <f>HLOOKUP(X$2,Models_Results!$B:$AP,$AC92,FALSE)</f>
        <v>6.1479999999999997</v>
      </c>
      <c r="Y92" s="34">
        <f>HLOOKUP(Y$2,Models_Results!$B:$AP,$AC92,FALSE)</f>
        <v>7.085</v>
      </c>
      <c r="AC92">
        <v>89</v>
      </c>
    </row>
    <row r="93" spans="1:29" x14ac:dyDescent="0.2">
      <c r="A93">
        <f t="shared" si="1"/>
        <v>2047</v>
      </c>
      <c r="C93">
        <f>HLOOKUP(C$2,Models_Results!$B:$AP,$AC93,FALSE)</f>
        <v>2.0409999999999999</v>
      </c>
      <c r="D93">
        <f>HLOOKUP(D$2,Models_Results!$B:$AP,$AC93,FALSE)</f>
        <v>2.7789999999999999</v>
      </c>
      <c r="E93">
        <f>HLOOKUP(E$2,Models_Results!$B:$AP,$AC93,FALSE)</f>
        <v>3.0249999999999999</v>
      </c>
      <c r="F93">
        <f>HLOOKUP(F$2,Models_Results!$B:$AP,$AC93,FALSE)</f>
        <v>2.4750000000000001</v>
      </c>
      <c r="G93">
        <f>HLOOKUP(G$2,Models_Results!$B:$AP,$AC93,FALSE)</f>
        <v>3.4329999999999998</v>
      </c>
      <c r="H93">
        <f>HLOOKUP(H$2,Models_Results!$B:$AP,$AC93,FALSE)</f>
        <v>3.8919999999999999</v>
      </c>
      <c r="I93">
        <f>HLOOKUP(I$2,Models_Results!$B:$AP,$AC93,FALSE)</f>
        <v>3.3149999999999999</v>
      </c>
      <c r="J93">
        <f>HLOOKUP(J$2,Models_Results!$B:$AP,$AC93,FALSE)</f>
        <v>5.1159999999999997</v>
      </c>
      <c r="K93">
        <f>HLOOKUP(K$2,Models_Results!$B:$AP,$AC93,FALSE)</f>
        <v>1.224</v>
      </c>
      <c r="N93" s="34">
        <f>HLOOKUP(N$2,Models_Results!$B:$AP,$AC93,FALSE)</f>
        <v>3.6589999999999998</v>
      </c>
      <c r="O93" s="34">
        <f>HLOOKUP(O$2,Models_Results!$B:$AP,$AC93,FALSE)</f>
        <v>4.923</v>
      </c>
      <c r="P93" s="34">
        <f>HLOOKUP(P$2,Models_Results!$B:$AP,$AC93,FALSE)</f>
        <v>6.8929999999999998</v>
      </c>
      <c r="Q93" s="34">
        <f>HLOOKUP(Q$2,Models_Results!$B:$AP,$AC93,FALSE)</f>
        <v>8.9640000000000004</v>
      </c>
      <c r="R93" s="34">
        <f>HLOOKUP(R$2,Models_Results!$B:$AP,$AC93,FALSE)</f>
        <v>5.6029999999999998</v>
      </c>
      <c r="S93" s="34">
        <f>HLOOKUP(S$2,Models_Results!$B:$AP,$AC93,FALSE)</f>
        <v>6.641</v>
      </c>
      <c r="T93" s="34">
        <f>HLOOKUP(T$2,Models_Results!$B:$AP,$AC93,FALSE)</f>
        <v>3.6589999999999998</v>
      </c>
      <c r="U93" s="34">
        <f>HLOOKUP(U$2,Models_Results!$B:$AP,$AC93,FALSE)</f>
        <v>4.923</v>
      </c>
      <c r="V93" s="34">
        <f>HLOOKUP(V$2,Models_Results!$B:$AP,$AC93,FALSE)</f>
        <v>7.8470000000000004</v>
      </c>
      <c r="W93" s="34">
        <f>HLOOKUP(W$2,Models_Results!$B:$AP,$AC93,FALSE)</f>
        <v>10.228</v>
      </c>
      <c r="X93" s="34">
        <f>HLOOKUP(X$2,Models_Results!$B:$AP,$AC93,FALSE)</f>
        <v>6.2030000000000003</v>
      </c>
      <c r="Y93" s="34">
        <f>HLOOKUP(Y$2,Models_Results!$B:$AP,$AC93,FALSE)</f>
        <v>7.2069999999999999</v>
      </c>
      <c r="AC93">
        <v>90</v>
      </c>
    </row>
    <row r="94" spans="1:29" x14ac:dyDescent="0.2">
      <c r="A94">
        <f t="shared" si="1"/>
        <v>2047.25</v>
      </c>
      <c r="C94">
        <f>HLOOKUP(C$2,Models_Results!$B:$AP,$AC94,FALSE)</f>
        <v>2.052</v>
      </c>
      <c r="D94">
        <f>HLOOKUP(D$2,Models_Results!$B:$AP,$AC94,FALSE)</f>
        <v>2.823</v>
      </c>
      <c r="E94">
        <f>HLOOKUP(E$2,Models_Results!$B:$AP,$AC94,FALSE)</f>
        <v>3.0430000000000001</v>
      </c>
      <c r="F94">
        <f>HLOOKUP(F$2,Models_Results!$B:$AP,$AC94,FALSE)</f>
        <v>2.4889999999999999</v>
      </c>
      <c r="G94">
        <f>HLOOKUP(G$2,Models_Results!$B:$AP,$AC94,FALSE)</f>
        <v>3.4940000000000002</v>
      </c>
      <c r="H94">
        <f>HLOOKUP(H$2,Models_Results!$B:$AP,$AC94,FALSE)</f>
        <v>3.919</v>
      </c>
      <c r="I94">
        <f>HLOOKUP(I$2,Models_Results!$B:$AP,$AC94,FALSE)</f>
        <v>3.3490000000000002</v>
      </c>
      <c r="J94">
        <f>HLOOKUP(J$2,Models_Results!$B:$AP,$AC94,FALSE)</f>
        <v>5.1689999999999996</v>
      </c>
      <c r="K94">
        <f>HLOOKUP(K$2,Models_Results!$B:$AP,$AC94,FALSE)</f>
        <v>1.2250000000000001</v>
      </c>
      <c r="N94" s="34">
        <f>HLOOKUP(N$2,Models_Results!$B:$AP,$AC94,FALSE)</f>
        <v>3.6680000000000001</v>
      </c>
      <c r="O94" s="34">
        <f>HLOOKUP(O$2,Models_Results!$B:$AP,$AC94,FALSE)</f>
        <v>4.9729999999999999</v>
      </c>
      <c r="P94" s="34">
        <f>HLOOKUP(P$2,Models_Results!$B:$AP,$AC94,FALSE)</f>
        <v>6.9180000000000001</v>
      </c>
      <c r="Q94" s="34">
        <f>HLOOKUP(Q$2,Models_Results!$B:$AP,$AC94,FALSE)</f>
        <v>9.0939999999999994</v>
      </c>
      <c r="R94" s="34">
        <f>HLOOKUP(R$2,Models_Results!$B:$AP,$AC94,FALSE)</f>
        <v>5.6479999999999997</v>
      </c>
      <c r="S94" s="34">
        <f>HLOOKUP(S$2,Models_Results!$B:$AP,$AC94,FALSE)</f>
        <v>6.7460000000000004</v>
      </c>
      <c r="T94" s="34">
        <f>HLOOKUP(T$2,Models_Results!$B:$AP,$AC94,FALSE)</f>
        <v>3.6680000000000001</v>
      </c>
      <c r="U94" s="34">
        <f>HLOOKUP(U$2,Models_Results!$B:$AP,$AC94,FALSE)</f>
        <v>4.9729999999999999</v>
      </c>
      <c r="V94" s="34">
        <f>HLOOKUP(V$2,Models_Results!$B:$AP,$AC94,FALSE)</f>
        <v>7.8769999999999998</v>
      </c>
      <c r="W94" s="34">
        <f>HLOOKUP(W$2,Models_Results!$B:$AP,$AC94,FALSE)</f>
        <v>10.382</v>
      </c>
      <c r="X94" s="34">
        <f>HLOOKUP(X$2,Models_Results!$B:$AP,$AC94,FALSE)</f>
        <v>6.258</v>
      </c>
      <c r="Y94" s="34">
        <f>HLOOKUP(Y$2,Models_Results!$B:$AP,$AC94,FALSE)</f>
        <v>7.3289999999999997</v>
      </c>
      <c r="AC94">
        <v>91</v>
      </c>
    </row>
    <row r="95" spans="1:29" x14ac:dyDescent="0.2">
      <c r="A95">
        <f t="shared" si="1"/>
        <v>2047.5</v>
      </c>
      <c r="C95">
        <f>HLOOKUP(C$2,Models_Results!$B:$AP,$AC95,FALSE)</f>
        <v>2.0619999999999998</v>
      </c>
      <c r="D95">
        <f>HLOOKUP(D$2,Models_Results!$B:$AP,$AC95,FALSE)</f>
        <v>2.867</v>
      </c>
      <c r="E95">
        <f>HLOOKUP(E$2,Models_Results!$B:$AP,$AC95,FALSE)</f>
        <v>3.0590000000000002</v>
      </c>
      <c r="F95">
        <f>HLOOKUP(F$2,Models_Results!$B:$AP,$AC95,FALSE)</f>
        <v>2.5030000000000001</v>
      </c>
      <c r="G95">
        <f>HLOOKUP(G$2,Models_Results!$B:$AP,$AC95,FALSE)</f>
        <v>3.5550000000000002</v>
      </c>
      <c r="H95">
        <f>HLOOKUP(H$2,Models_Results!$B:$AP,$AC95,FALSE)</f>
        <v>3.9460000000000002</v>
      </c>
      <c r="I95">
        <f>HLOOKUP(I$2,Models_Results!$B:$AP,$AC95,FALSE)</f>
        <v>3.383</v>
      </c>
      <c r="J95">
        <f>HLOOKUP(J$2,Models_Results!$B:$AP,$AC95,FALSE)</f>
        <v>5.2220000000000004</v>
      </c>
      <c r="K95">
        <f>HLOOKUP(K$2,Models_Results!$B:$AP,$AC95,FALSE)</f>
        <v>1.2250000000000001</v>
      </c>
      <c r="N95" s="34">
        <f>HLOOKUP(N$2,Models_Results!$B:$AP,$AC95,FALSE)</f>
        <v>3.6760000000000002</v>
      </c>
      <c r="O95" s="34">
        <f>HLOOKUP(O$2,Models_Results!$B:$AP,$AC95,FALSE)</f>
        <v>5.0229999999999997</v>
      </c>
      <c r="P95" s="34">
        <f>HLOOKUP(P$2,Models_Results!$B:$AP,$AC95,FALSE)</f>
        <v>6.9420000000000002</v>
      </c>
      <c r="Q95" s="34">
        <f>HLOOKUP(Q$2,Models_Results!$B:$AP,$AC95,FALSE)</f>
        <v>9.2210000000000001</v>
      </c>
      <c r="R95" s="34">
        <f>HLOOKUP(R$2,Models_Results!$B:$AP,$AC95,FALSE)</f>
        <v>5.6929999999999996</v>
      </c>
      <c r="S95" s="34">
        <f>HLOOKUP(S$2,Models_Results!$B:$AP,$AC95,FALSE)</f>
        <v>6.85</v>
      </c>
      <c r="T95" s="34">
        <f>HLOOKUP(T$2,Models_Results!$B:$AP,$AC95,FALSE)</f>
        <v>3.6760000000000002</v>
      </c>
      <c r="U95" s="34">
        <f>HLOOKUP(U$2,Models_Results!$B:$AP,$AC95,FALSE)</f>
        <v>5.0229999999999997</v>
      </c>
      <c r="V95" s="34">
        <f>HLOOKUP(V$2,Models_Results!$B:$AP,$AC95,FALSE)</f>
        <v>7.9059999999999997</v>
      </c>
      <c r="W95" s="34">
        <f>HLOOKUP(W$2,Models_Results!$B:$AP,$AC95,FALSE)</f>
        <v>10.532999999999999</v>
      </c>
      <c r="X95" s="34">
        <f>HLOOKUP(X$2,Models_Results!$B:$AP,$AC95,FALSE)</f>
        <v>6.3140000000000001</v>
      </c>
      <c r="Y95" s="34">
        <f>HLOOKUP(Y$2,Models_Results!$B:$AP,$AC95,FALSE)</f>
        <v>7.4509999999999996</v>
      </c>
      <c r="AC95">
        <v>92</v>
      </c>
    </row>
    <row r="96" spans="1:29" x14ac:dyDescent="0.2">
      <c r="A96">
        <f t="shared" si="1"/>
        <v>2047.75</v>
      </c>
      <c r="C96">
        <f>HLOOKUP(C$2,Models_Results!$B:$AP,$AC96,FALSE)</f>
        <v>2.0720000000000001</v>
      </c>
      <c r="D96">
        <f>HLOOKUP(D$2,Models_Results!$B:$AP,$AC96,FALSE)</f>
        <v>2.91</v>
      </c>
      <c r="E96">
        <f>HLOOKUP(E$2,Models_Results!$B:$AP,$AC96,FALSE)</f>
        <v>3.0760000000000001</v>
      </c>
      <c r="F96">
        <f>HLOOKUP(F$2,Models_Results!$B:$AP,$AC96,FALSE)</f>
        <v>2.5169999999999999</v>
      </c>
      <c r="G96">
        <f>HLOOKUP(G$2,Models_Results!$B:$AP,$AC96,FALSE)</f>
        <v>3.6160000000000001</v>
      </c>
      <c r="H96">
        <f>HLOOKUP(H$2,Models_Results!$B:$AP,$AC96,FALSE)</f>
        <v>3.972</v>
      </c>
      <c r="I96">
        <f>HLOOKUP(I$2,Models_Results!$B:$AP,$AC96,FALSE)</f>
        <v>3.4159999999999999</v>
      </c>
      <c r="J96">
        <f>HLOOKUP(J$2,Models_Results!$B:$AP,$AC96,FALSE)</f>
        <v>5.2729999999999997</v>
      </c>
      <c r="K96">
        <f>HLOOKUP(K$2,Models_Results!$B:$AP,$AC96,FALSE)</f>
        <v>1.226</v>
      </c>
      <c r="N96" s="34">
        <f>HLOOKUP(N$2,Models_Results!$B:$AP,$AC96,FALSE)</f>
        <v>3.6840000000000002</v>
      </c>
      <c r="O96" s="34">
        <f>HLOOKUP(O$2,Models_Results!$B:$AP,$AC96,FALSE)</f>
        <v>5.0709999999999997</v>
      </c>
      <c r="P96" s="34">
        <f>HLOOKUP(P$2,Models_Results!$B:$AP,$AC96,FALSE)</f>
        <v>6.9660000000000002</v>
      </c>
      <c r="Q96" s="34">
        <f>HLOOKUP(Q$2,Models_Results!$B:$AP,$AC96,FALSE)</f>
        <v>9.3469999999999995</v>
      </c>
      <c r="R96" s="34">
        <f>HLOOKUP(R$2,Models_Results!$B:$AP,$AC96,FALSE)</f>
        <v>5.7380000000000004</v>
      </c>
      <c r="S96" s="34">
        <f>HLOOKUP(S$2,Models_Results!$B:$AP,$AC96,FALSE)</f>
        <v>6.9539999999999997</v>
      </c>
      <c r="T96" s="34">
        <f>HLOOKUP(T$2,Models_Results!$B:$AP,$AC96,FALSE)</f>
        <v>3.6840000000000002</v>
      </c>
      <c r="U96" s="34">
        <f>HLOOKUP(U$2,Models_Results!$B:$AP,$AC96,FALSE)</f>
        <v>5.0709999999999997</v>
      </c>
      <c r="V96" s="34">
        <f>HLOOKUP(V$2,Models_Results!$B:$AP,$AC96,FALSE)</f>
        <v>7.9340000000000002</v>
      </c>
      <c r="W96" s="34">
        <f>HLOOKUP(W$2,Models_Results!$B:$AP,$AC96,FALSE)</f>
        <v>10.682</v>
      </c>
      <c r="X96" s="34">
        <f>HLOOKUP(X$2,Models_Results!$B:$AP,$AC96,FALSE)</f>
        <v>6.3689999999999998</v>
      </c>
      <c r="Y96" s="34">
        <f>HLOOKUP(Y$2,Models_Results!$B:$AP,$AC96,FALSE)</f>
        <v>7.5720000000000001</v>
      </c>
      <c r="AC96">
        <v>93</v>
      </c>
    </row>
    <row r="97" spans="1:29" x14ac:dyDescent="0.2">
      <c r="A97">
        <f t="shared" si="1"/>
        <v>2048</v>
      </c>
      <c r="C97">
        <f>HLOOKUP(C$2,Models_Results!$B:$AP,$AC97,FALSE)</f>
        <v>2.0819999999999999</v>
      </c>
      <c r="D97">
        <f>HLOOKUP(D$2,Models_Results!$B:$AP,$AC97,FALSE)</f>
        <v>2.9529999999999998</v>
      </c>
      <c r="E97">
        <f>HLOOKUP(E$2,Models_Results!$B:$AP,$AC97,FALSE)</f>
        <v>3.0920000000000001</v>
      </c>
      <c r="F97">
        <f>HLOOKUP(F$2,Models_Results!$B:$AP,$AC97,FALSE)</f>
        <v>2.5299999999999998</v>
      </c>
      <c r="G97">
        <f>HLOOKUP(G$2,Models_Results!$B:$AP,$AC97,FALSE)</f>
        <v>3.6760000000000002</v>
      </c>
      <c r="H97">
        <f>HLOOKUP(H$2,Models_Results!$B:$AP,$AC97,FALSE)</f>
        <v>3.9969999999999999</v>
      </c>
      <c r="I97">
        <f>HLOOKUP(I$2,Models_Results!$B:$AP,$AC97,FALSE)</f>
        <v>3.4489999999999998</v>
      </c>
      <c r="J97">
        <f>HLOOKUP(J$2,Models_Results!$B:$AP,$AC97,FALSE)</f>
        <v>5.3239999999999998</v>
      </c>
      <c r="K97">
        <f>HLOOKUP(K$2,Models_Results!$B:$AP,$AC97,FALSE)</f>
        <v>1.2270000000000001</v>
      </c>
      <c r="N97" s="34">
        <f>HLOOKUP(N$2,Models_Results!$B:$AP,$AC97,FALSE)</f>
        <v>3.6920000000000002</v>
      </c>
      <c r="O97" s="34">
        <f>HLOOKUP(O$2,Models_Results!$B:$AP,$AC97,FALSE)</f>
        <v>5.1180000000000003</v>
      </c>
      <c r="P97" s="34">
        <f>HLOOKUP(P$2,Models_Results!$B:$AP,$AC97,FALSE)</f>
        <v>6.9889999999999999</v>
      </c>
      <c r="Q97" s="34">
        <f>HLOOKUP(Q$2,Models_Results!$B:$AP,$AC97,FALSE)</f>
        <v>9.4700000000000006</v>
      </c>
      <c r="R97" s="34">
        <f>HLOOKUP(R$2,Models_Results!$B:$AP,$AC97,FALSE)</f>
        <v>5.7830000000000004</v>
      </c>
      <c r="S97" s="34">
        <f>HLOOKUP(S$2,Models_Results!$B:$AP,$AC97,FALSE)</f>
        <v>7.0579999999999998</v>
      </c>
      <c r="T97" s="34">
        <f>HLOOKUP(T$2,Models_Results!$B:$AP,$AC97,FALSE)</f>
        <v>3.6920000000000002</v>
      </c>
      <c r="U97" s="34">
        <f>HLOOKUP(U$2,Models_Results!$B:$AP,$AC97,FALSE)</f>
        <v>5.1180000000000003</v>
      </c>
      <c r="V97" s="34">
        <f>HLOOKUP(V$2,Models_Results!$B:$AP,$AC97,FALSE)</f>
        <v>7.9610000000000003</v>
      </c>
      <c r="W97" s="34">
        <f>HLOOKUP(W$2,Models_Results!$B:$AP,$AC97,FALSE)</f>
        <v>10.827999999999999</v>
      </c>
      <c r="X97" s="34">
        <f>HLOOKUP(X$2,Models_Results!$B:$AP,$AC97,FALSE)</f>
        <v>6.4240000000000004</v>
      </c>
      <c r="Y97" s="34">
        <f>HLOOKUP(Y$2,Models_Results!$B:$AP,$AC97,FALSE)</f>
        <v>7.6929999999999996</v>
      </c>
      <c r="AC97">
        <v>94</v>
      </c>
    </row>
    <row r="98" spans="1:29" x14ac:dyDescent="0.2">
      <c r="A98">
        <f t="shared" si="1"/>
        <v>2048.25</v>
      </c>
      <c r="C98">
        <f>HLOOKUP(C$2,Models_Results!$B:$AP,$AC98,FALSE)</f>
        <v>2.0920000000000001</v>
      </c>
      <c r="D98">
        <f>HLOOKUP(D$2,Models_Results!$B:$AP,$AC98,FALSE)</f>
        <v>2.996</v>
      </c>
      <c r="E98">
        <f>HLOOKUP(E$2,Models_Results!$B:$AP,$AC98,FALSE)</f>
        <v>3.1080000000000001</v>
      </c>
      <c r="F98">
        <f>HLOOKUP(F$2,Models_Results!$B:$AP,$AC98,FALSE)</f>
        <v>2.544</v>
      </c>
      <c r="G98">
        <f>HLOOKUP(G$2,Models_Results!$B:$AP,$AC98,FALSE)</f>
        <v>3.7349999999999999</v>
      </c>
      <c r="H98">
        <f>HLOOKUP(H$2,Models_Results!$B:$AP,$AC98,FALSE)</f>
        <v>4.0220000000000002</v>
      </c>
      <c r="I98">
        <f>HLOOKUP(I$2,Models_Results!$B:$AP,$AC98,FALSE)</f>
        <v>3.4809999999999999</v>
      </c>
      <c r="J98">
        <f>HLOOKUP(J$2,Models_Results!$B:$AP,$AC98,FALSE)</f>
        <v>5.3730000000000002</v>
      </c>
      <c r="K98">
        <f>HLOOKUP(K$2,Models_Results!$B:$AP,$AC98,FALSE)</f>
        <v>1.228</v>
      </c>
      <c r="N98" s="34">
        <f>HLOOKUP(N$2,Models_Results!$B:$AP,$AC98,FALSE)</f>
        <v>3.7</v>
      </c>
      <c r="O98" s="34">
        <f>HLOOKUP(O$2,Models_Results!$B:$AP,$AC98,FALSE)</f>
        <v>5.1639999999999997</v>
      </c>
      <c r="P98" s="34">
        <f>HLOOKUP(P$2,Models_Results!$B:$AP,$AC98,FALSE)</f>
        <v>7.0110000000000001</v>
      </c>
      <c r="Q98" s="34">
        <f>HLOOKUP(Q$2,Models_Results!$B:$AP,$AC98,FALSE)</f>
        <v>9.5920000000000005</v>
      </c>
      <c r="R98" s="34">
        <f>HLOOKUP(R$2,Models_Results!$B:$AP,$AC98,FALSE)</f>
        <v>5.8280000000000003</v>
      </c>
      <c r="S98" s="34">
        <f>HLOOKUP(S$2,Models_Results!$B:$AP,$AC98,FALSE)</f>
        <v>7.1609999999999996</v>
      </c>
      <c r="T98" s="34">
        <f>HLOOKUP(T$2,Models_Results!$B:$AP,$AC98,FALSE)</f>
        <v>3.7</v>
      </c>
      <c r="U98" s="34">
        <f>HLOOKUP(U$2,Models_Results!$B:$AP,$AC98,FALSE)</f>
        <v>5.1639999999999997</v>
      </c>
      <c r="V98" s="34">
        <f>HLOOKUP(V$2,Models_Results!$B:$AP,$AC98,FALSE)</f>
        <v>7.9870000000000001</v>
      </c>
      <c r="W98" s="34">
        <f>HLOOKUP(W$2,Models_Results!$B:$AP,$AC98,FALSE)</f>
        <v>10.972</v>
      </c>
      <c r="X98" s="34">
        <f>HLOOKUP(X$2,Models_Results!$B:$AP,$AC98,FALSE)</f>
        <v>6.48</v>
      </c>
      <c r="Y98" s="34">
        <f>HLOOKUP(Y$2,Models_Results!$B:$AP,$AC98,FALSE)</f>
        <v>7.8140000000000001</v>
      </c>
      <c r="AC98">
        <v>95</v>
      </c>
    </row>
    <row r="99" spans="1:29" x14ac:dyDescent="0.2">
      <c r="A99">
        <f t="shared" si="1"/>
        <v>2048.5</v>
      </c>
      <c r="C99">
        <f>HLOOKUP(C$2,Models_Results!$B:$AP,$AC99,FALSE)</f>
        <v>2.101</v>
      </c>
      <c r="D99">
        <f>HLOOKUP(D$2,Models_Results!$B:$AP,$AC99,FALSE)</f>
        <v>3.0390000000000001</v>
      </c>
      <c r="E99">
        <f>HLOOKUP(E$2,Models_Results!$B:$AP,$AC99,FALSE)</f>
        <v>3.1240000000000001</v>
      </c>
      <c r="F99">
        <f>HLOOKUP(F$2,Models_Results!$B:$AP,$AC99,FALSE)</f>
        <v>2.5569999999999999</v>
      </c>
      <c r="G99">
        <f>HLOOKUP(G$2,Models_Results!$B:$AP,$AC99,FALSE)</f>
        <v>3.7949999999999999</v>
      </c>
      <c r="H99">
        <f>HLOOKUP(H$2,Models_Results!$B:$AP,$AC99,FALSE)</f>
        <v>4.0460000000000003</v>
      </c>
      <c r="I99">
        <f>HLOOKUP(I$2,Models_Results!$B:$AP,$AC99,FALSE)</f>
        <v>3.5139999999999998</v>
      </c>
      <c r="J99">
        <f>HLOOKUP(J$2,Models_Results!$B:$AP,$AC99,FALSE)</f>
        <v>5.4219999999999997</v>
      </c>
      <c r="K99">
        <f>HLOOKUP(K$2,Models_Results!$B:$AP,$AC99,FALSE)</f>
        <v>1.2290000000000001</v>
      </c>
      <c r="N99" s="34">
        <f>HLOOKUP(N$2,Models_Results!$B:$AP,$AC99,FALSE)</f>
        <v>3.7069999999999999</v>
      </c>
      <c r="O99" s="34">
        <f>HLOOKUP(O$2,Models_Results!$B:$AP,$AC99,FALSE)</f>
        <v>5.21</v>
      </c>
      <c r="P99" s="34">
        <f>HLOOKUP(P$2,Models_Results!$B:$AP,$AC99,FALSE)</f>
        <v>7.032</v>
      </c>
      <c r="Q99" s="34">
        <f>HLOOKUP(Q$2,Models_Results!$B:$AP,$AC99,FALSE)</f>
        <v>9.7110000000000003</v>
      </c>
      <c r="R99" s="34">
        <f>HLOOKUP(R$2,Models_Results!$B:$AP,$AC99,FALSE)</f>
        <v>5.8730000000000002</v>
      </c>
      <c r="S99" s="34">
        <f>HLOOKUP(S$2,Models_Results!$B:$AP,$AC99,FALSE)</f>
        <v>7.2640000000000002</v>
      </c>
      <c r="T99" s="34">
        <f>HLOOKUP(T$2,Models_Results!$B:$AP,$AC99,FALSE)</f>
        <v>3.7069999999999999</v>
      </c>
      <c r="U99" s="34">
        <f>HLOOKUP(U$2,Models_Results!$B:$AP,$AC99,FALSE)</f>
        <v>5.21</v>
      </c>
      <c r="V99" s="34">
        <f>HLOOKUP(V$2,Models_Results!$B:$AP,$AC99,FALSE)</f>
        <v>8.0120000000000005</v>
      </c>
      <c r="W99" s="34">
        <f>HLOOKUP(W$2,Models_Results!$B:$AP,$AC99,FALSE)</f>
        <v>11.114000000000001</v>
      </c>
      <c r="X99" s="34">
        <f>HLOOKUP(X$2,Models_Results!$B:$AP,$AC99,FALSE)</f>
        <v>6.5359999999999996</v>
      </c>
      <c r="Y99" s="34">
        <f>HLOOKUP(Y$2,Models_Results!$B:$AP,$AC99,FALSE)</f>
        <v>7.9349999999999996</v>
      </c>
      <c r="AC99">
        <v>96</v>
      </c>
    </row>
    <row r="100" spans="1:29" x14ac:dyDescent="0.2">
      <c r="A100">
        <f t="shared" si="1"/>
        <v>2048.75</v>
      </c>
      <c r="C100">
        <f>HLOOKUP(C$2,Models_Results!$B:$AP,$AC100,FALSE)</f>
        <v>2.11</v>
      </c>
      <c r="D100">
        <f>HLOOKUP(D$2,Models_Results!$B:$AP,$AC100,FALSE)</f>
        <v>3.081</v>
      </c>
      <c r="E100">
        <f>HLOOKUP(E$2,Models_Results!$B:$AP,$AC100,FALSE)</f>
        <v>3.1389999999999998</v>
      </c>
      <c r="F100">
        <f>HLOOKUP(F$2,Models_Results!$B:$AP,$AC100,FALSE)</f>
        <v>2.569</v>
      </c>
      <c r="G100">
        <f>HLOOKUP(G$2,Models_Results!$B:$AP,$AC100,FALSE)</f>
        <v>3.8540000000000001</v>
      </c>
      <c r="H100">
        <f>HLOOKUP(H$2,Models_Results!$B:$AP,$AC100,FALSE)</f>
        <v>4.07</v>
      </c>
      <c r="I100">
        <f>HLOOKUP(I$2,Models_Results!$B:$AP,$AC100,FALSE)</f>
        <v>3.5449999999999999</v>
      </c>
      <c r="J100">
        <f>HLOOKUP(J$2,Models_Results!$B:$AP,$AC100,FALSE)</f>
        <v>5.4690000000000003</v>
      </c>
      <c r="K100">
        <f>HLOOKUP(K$2,Models_Results!$B:$AP,$AC100,FALSE)</f>
        <v>1.2310000000000001</v>
      </c>
      <c r="N100" s="34">
        <f>HLOOKUP(N$2,Models_Results!$B:$AP,$AC100,FALSE)</f>
        <v>3.714</v>
      </c>
      <c r="O100" s="34">
        <f>HLOOKUP(O$2,Models_Results!$B:$AP,$AC100,FALSE)</f>
        <v>5.2549999999999999</v>
      </c>
      <c r="P100" s="34">
        <f>HLOOKUP(P$2,Models_Results!$B:$AP,$AC100,FALSE)</f>
        <v>7.0529999999999999</v>
      </c>
      <c r="Q100" s="34">
        <f>HLOOKUP(Q$2,Models_Results!$B:$AP,$AC100,FALSE)</f>
        <v>9.8290000000000006</v>
      </c>
      <c r="R100" s="34">
        <f>HLOOKUP(R$2,Models_Results!$B:$AP,$AC100,FALSE)</f>
        <v>5.9180000000000001</v>
      </c>
      <c r="S100" s="34">
        <f>HLOOKUP(S$2,Models_Results!$B:$AP,$AC100,FALSE)</f>
        <v>7.3659999999999997</v>
      </c>
      <c r="T100" s="34">
        <f>HLOOKUP(T$2,Models_Results!$B:$AP,$AC100,FALSE)</f>
        <v>3.714</v>
      </c>
      <c r="U100" s="34">
        <f>HLOOKUP(U$2,Models_Results!$B:$AP,$AC100,FALSE)</f>
        <v>5.2549999999999999</v>
      </c>
      <c r="V100" s="34">
        <f>HLOOKUP(V$2,Models_Results!$B:$AP,$AC100,FALSE)</f>
        <v>8.0370000000000008</v>
      </c>
      <c r="W100" s="34">
        <f>HLOOKUP(W$2,Models_Results!$B:$AP,$AC100,FALSE)</f>
        <v>11.253</v>
      </c>
      <c r="X100" s="34">
        <f>HLOOKUP(X$2,Models_Results!$B:$AP,$AC100,FALSE)</f>
        <v>6.5910000000000002</v>
      </c>
      <c r="Y100" s="34">
        <f>HLOOKUP(Y$2,Models_Results!$B:$AP,$AC100,FALSE)</f>
        <v>8.0559999999999992</v>
      </c>
      <c r="AC100">
        <v>97</v>
      </c>
    </row>
    <row r="101" spans="1:29" x14ac:dyDescent="0.2">
      <c r="A101">
        <f t="shared" si="1"/>
        <v>2049</v>
      </c>
      <c r="C101">
        <f>HLOOKUP(C$2,Models_Results!$B:$AP,$AC101,FALSE)</f>
        <v>2.12</v>
      </c>
      <c r="D101">
        <f>HLOOKUP(D$2,Models_Results!$B:$AP,$AC101,FALSE)</f>
        <v>3.1219999999999999</v>
      </c>
      <c r="E101">
        <f>HLOOKUP(E$2,Models_Results!$B:$AP,$AC101,FALSE)</f>
        <v>3.1539999999999999</v>
      </c>
      <c r="F101">
        <f>HLOOKUP(F$2,Models_Results!$B:$AP,$AC101,FALSE)</f>
        <v>2.5819999999999999</v>
      </c>
      <c r="G101">
        <f>HLOOKUP(G$2,Models_Results!$B:$AP,$AC101,FALSE)</f>
        <v>3.9119999999999999</v>
      </c>
      <c r="H101">
        <f>HLOOKUP(H$2,Models_Results!$B:$AP,$AC101,FALSE)</f>
        <v>4.0940000000000003</v>
      </c>
      <c r="I101">
        <f>HLOOKUP(I$2,Models_Results!$B:$AP,$AC101,FALSE)</f>
        <v>3.577</v>
      </c>
      <c r="J101">
        <f>HLOOKUP(J$2,Models_Results!$B:$AP,$AC101,FALSE)</f>
        <v>5.516</v>
      </c>
      <c r="K101">
        <f>HLOOKUP(K$2,Models_Results!$B:$AP,$AC101,FALSE)</f>
        <v>1.2330000000000001</v>
      </c>
      <c r="N101" s="34">
        <f>HLOOKUP(N$2,Models_Results!$B:$AP,$AC101,FALSE)</f>
        <v>3.7210000000000001</v>
      </c>
      <c r="O101" s="34">
        <f>HLOOKUP(O$2,Models_Results!$B:$AP,$AC101,FALSE)</f>
        <v>5.298</v>
      </c>
      <c r="P101" s="34">
        <f>HLOOKUP(P$2,Models_Results!$B:$AP,$AC101,FALSE)</f>
        <v>7.0730000000000004</v>
      </c>
      <c r="Q101" s="34">
        <f>HLOOKUP(Q$2,Models_Results!$B:$AP,$AC101,FALSE)</f>
        <v>9.9440000000000008</v>
      </c>
      <c r="R101" s="34">
        <f>HLOOKUP(R$2,Models_Results!$B:$AP,$AC101,FALSE)</f>
        <v>5.9630000000000001</v>
      </c>
      <c r="S101" s="34">
        <f>HLOOKUP(S$2,Models_Results!$B:$AP,$AC101,FALSE)</f>
        <v>7.468</v>
      </c>
      <c r="T101" s="34">
        <f>HLOOKUP(T$2,Models_Results!$B:$AP,$AC101,FALSE)</f>
        <v>3.7210000000000001</v>
      </c>
      <c r="U101" s="34">
        <f>HLOOKUP(U$2,Models_Results!$B:$AP,$AC101,FALSE)</f>
        <v>5.298</v>
      </c>
      <c r="V101" s="34">
        <f>HLOOKUP(V$2,Models_Results!$B:$AP,$AC101,FALSE)</f>
        <v>8.06</v>
      </c>
      <c r="W101" s="34">
        <f>HLOOKUP(W$2,Models_Results!$B:$AP,$AC101,FALSE)</f>
        <v>11.391</v>
      </c>
      <c r="X101" s="34">
        <f>HLOOKUP(X$2,Models_Results!$B:$AP,$AC101,FALSE)</f>
        <v>6.6479999999999997</v>
      </c>
      <c r="Y101" s="34">
        <f>HLOOKUP(Y$2,Models_Results!$B:$AP,$AC101,FALSE)</f>
        <v>8.1760000000000002</v>
      </c>
      <c r="AC101">
        <v>98</v>
      </c>
    </row>
    <row r="102" spans="1:29" x14ac:dyDescent="0.2">
      <c r="A102">
        <f t="shared" si="1"/>
        <v>2049.25</v>
      </c>
      <c r="C102">
        <f>HLOOKUP(C$2,Models_Results!$B:$AP,$AC102,FALSE)</f>
        <v>2.129</v>
      </c>
      <c r="D102">
        <f>HLOOKUP(D$2,Models_Results!$B:$AP,$AC102,FALSE)</f>
        <v>3.1629999999999998</v>
      </c>
      <c r="E102">
        <f>HLOOKUP(E$2,Models_Results!$B:$AP,$AC102,FALSE)</f>
        <v>3.169</v>
      </c>
      <c r="F102">
        <f>HLOOKUP(F$2,Models_Results!$B:$AP,$AC102,FALSE)</f>
        <v>2.5939999999999999</v>
      </c>
      <c r="G102">
        <f>HLOOKUP(G$2,Models_Results!$B:$AP,$AC102,FALSE)</f>
        <v>3.97</v>
      </c>
      <c r="H102">
        <f>HLOOKUP(H$2,Models_Results!$B:$AP,$AC102,FALSE)</f>
        <v>4.1159999999999997</v>
      </c>
      <c r="I102">
        <f>HLOOKUP(I$2,Models_Results!$B:$AP,$AC102,FALSE)</f>
        <v>3.6080000000000001</v>
      </c>
      <c r="J102">
        <f>HLOOKUP(J$2,Models_Results!$B:$AP,$AC102,FALSE)</f>
        <v>5.5620000000000003</v>
      </c>
      <c r="K102">
        <f>HLOOKUP(K$2,Models_Results!$B:$AP,$AC102,FALSE)</f>
        <v>1.2350000000000001</v>
      </c>
      <c r="N102" s="34">
        <f>HLOOKUP(N$2,Models_Results!$B:$AP,$AC102,FALSE)</f>
        <v>3.7280000000000002</v>
      </c>
      <c r="O102" s="34">
        <f>HLOOKUP(O$2,Models_Results!$B:$AP,$AC102,FALSE)</f>
        <v>5.3410000000000002</v>
      </c>
      <c r="P102" s="34">
        <f>HLOOKUP(P$2,Models_Results!$B:$AP,$AC102,FALSE)</f>
        <v>7.093</v>
      </c>
      <c r="Q102" s="34">
        <f>HLOOKUP(Q$2,Models_Results!$B:$AP,$AC102,FALSE)</f>
        <v>10.058</v>
      </c>
      <c r="R102" s="34">
        <f>HLOOKUP(R$2,Models_Results!$B:$AP,$AC102,FALSE)</f>
        <v>6.0090000000000003</v>
      </c>
      <c r="S102" s="34">
        <f>HLOOKUP(S$2,Models_Results!$B:$AP,$AC102,FALSE)</f>
        <v>7.569</v>
      </c>
      <c r="T102" s="34">
        <f>HLOOKUP(T$2,Models_Results!$B:$AP,$AC102,FALSE)</f>
        <v>3.7280000000000002</v>
      </c>
      <c r="U102" s="34">
        <f>HLOOKUP(U$2,Models_Results!$B:$AP,$AC102,FALSE)</f>
        <v>5.3410000000000002</v>
      </c>
      <c r="V102" s="34">
        <f>HLOOKUP(V$2,Models_Results!$B:$AP,$AC102,FALSE)</f>
        <v>8.0830000000000002</v>
      </c>
      <c r="W102" s="34">
        <f>HLOOKUP(W$2,Models_Results!$B:$AP,$AC102,FALSE)</f>
        <v>11.525</v>
      </c>
      <c r="X102" s="34">
        <f>HLOOKUP(X$2,Models_Results!$B:$AP,$AC102,FALSE)</f>
        <v>6.7039999999999997</v>
      </c>
      <c r="Y102" s="34">
        <f>HLOOKUP(Y$2,Models_Results!$B:$AP,$AC102,FALSE)</f>
        <v>8.2949999999999999</v>
      </c>
      <c r="AC102">
        <v>99</v>
      </c>
    </row>
    <row r="103" spans="1:29" x14ac:dyDescent="0.2">
      <c r="A103">
        <f t="shared" si="1"/>
        <v>2049.5</v>
      </c>
      <c r="C103">
        <f>HLOOKUP(C$2,Models_Results!$B:$AP,$AC103,FALSE)</f>
        <v>2.137</v>
      </c>
      <c r="D103">
        <f>HLOOKUP(D$2,Models_Results!$B:$AP,$AC103,FALSE)</f>
        <v>3.2040000000000002</v>
      </c>
      <c r="E103">
        <f>HLOOKUP(E$2,Models_Results!$B:$AP,$AC103,FALSE)</f>
        <v>3.1829999999999998</v>
      </c>
      <c r="F103">
        <f>HLOOKUP(F$2,Models_Results!$B:$AP,$AC103,FALSE)</f>
        <v>2.6059999999999999</v>
      </c>
      <c r="G103">
        <f>HLOOKUP(G$2,Models_Results!$B:$AP,$AC103,FALSE)</f>
        <v>4.0279999999999996</v>
      </c>
      <c r="H103">
        <f>HLOOKUP(H$2,Models_Results!$B:$AP,$AC103,FALSE)</f>
        <v>4.1390000000000002</v>
      </c>
      <c r="I103">
        <f>HLOOKUP(I$2,Models_Results!$B:$AP,$AC103,FALSE)</f>
        <v>3.6389999999999998</v>
      </c>
      <c r="J103">
        <f>HLOOKUP(J$2,Models_Results!$B:$AP,$AC103,FALSE)</f>
        <v>5.6070000000000002</v>
      </c>
      <c r="K103">
        <f>HLOOKUP(K$2,Models_Results!$B:$AP,$AC103,FALSE)</f>
        <v>1.2370000000000001</v>
      </c>
      <c r="N103" s="34">
        <f>HLOOKUP(N$2,Models_Results!$B:$AP,$AC103,FALSE)</f>
        <v>3.734</v>
      </c>
      <c r="O103" s="34">
        <f>HLOOKUP(O$2,Models_Results!$B:$AP,$AC103,FALSE)</f>
        <v>5.383</v>
      </c>
      <c r="P103" s="34">
        <f>HLOOKUP(P$2,Models_Results!$B:$AP,$AC103,FALSE)</f>
        <v>7.1120000000000001</v>
      </c>
      <c r="Q103" s="34">
        <f>HLOOKUP(Q$2,Models_Results!$B:$AP,$AC103,FALSE)</f>
        <v>10.169</v>
      </c>
      <c r="R103" s="34">
        <f>HLOOKUP(R$2,Models_Results!$B:$AP,$AC103,FALSE)</f>
        <v>6.0549999999999997</v>
      </c>
      <c r="S103" s="34">
        <f>HLOOKUP(S$2,Models_Results!$B:$AP,$AC103,FALSE)</f>
        <v>7.6710000000000003</v>
      </c>
      <c r="T103" s="34">
        <f>HLOOKUP(T$2,Models_Results!$B:$AP,$AC103,FALSE)</f>
        <v>3.734</v>
      </c>
      <c r="U103" s="34">
        <f>HLOOKUP(U$2,Models_Results!$B:$AP,$AC103,FALSE)</f>
        <v>5.383</v>
      </c>
      <c r="V103" s="34">
        <f>HLOOKUP(V$2,Models_Results!$B:$AP,$AC103,FALSE)</f>
        <v>8.1050000000000004</v>
      </c>
      <c r="W103" s="34">
        <f>HLOOKUP(W$2,Models_Results!$B:$AP,$AC103,FALSE)</f>
        <v>11.657999999999999</v>
      </c>
      <c r="X103" s="34">
        <f>HLOOKUP(X$2,Models_Results!$B:$AP,$AC103,FALSE)</f>
        <v>6.7610000000000001</v>
      </c>
      <c r="Y103" s="34">
        <f>HLOOKUP(Y$2,Models_Results!$B:$AP,$AC103,FALSE)</f>
        <v>8.4149999999999991</v>
      </c>
      <c r="AC103">
        <v>100</v>
      </c>
    </row>
    <row r="104" spans="1:29" x14ac:dyDescent="0.2">
      <c r="A104">
        <f t="shared" si="1"/>
        <v>2049.75</v>
      </c>
      <c r="C104">
        <f>HLOOKUP(C$2,Models_Results!$B:$AP,$AC104,FALSE)</f>
        <v>2.1459999999999999</v>
      </c>
      <c r="D104">
        <f>HLOOKUP(D$2,Models_Results!$B:$AP,$AC104,FALSE)</f>
        <v>3.2450000000000001</v>
      </c>
      <c r="E104">
        <f>HLOOKUP(E$2,Models_Results!$B:$AP,$AC104,FALSE)</f>
        <v>3.1970000000000001</v>
      </c>
      <c r="F104">
        <f>HLOOKUP(F$2,Models_Results!$B:$AP,$AC104,FALSE)</f>
        <v>2.6179999999999999</v>
      </c>
      <c r="G104">
        <f>HLOOKUP(G$2,Models_Results!$B:$AP,$AC104,FALSE)</f>
        <v>4.085</v>
      </c>
      <c r="H104">
        <f>HLOOKUP(H$2,Models_Results!$B:$AP,$AC104,FALSE)</f>
        <v>4.1609999999999996</v>
      </c>
      <c r="I104">
        <f>HLOOKUP(I$2,Models_Results!$B:$AP,$AC104,FALSE)</f>
        <v>3.669</v>
      </c>
      <c r="J104">
        <f>HLOOKUP(J$2,Models_Results!$B:$AP,$AC104,FALSE)</f>
        <v>5.6509999999999998</v>
      </c>
      <c r="K104">
        <f>HLOOKUP(K$2,Models_Results!$B:$AP,$AC104,FALSE)</f>
        <v>1.2390000000000001</v>
      </c>
      <c r="N104" s="34">
        <f>HLOOKUP(N$2,Models_Results!$B:$AP,$AC104,FALSE)</f>
        <v>3.74</v>
      </c>
      <c r="O104" s="34">
        <f>HLOOKUP(O$2,Models_Results!$B:$AP,$AC104,FALSE)</f>
        <v>5.4240000000000004</v>
      </c>
      <c r="P104" s="34">
        <f>HLOOKUP(P$2,Models_Results!$B:$AP,$AC104,FALSE)</f>
        <v>7.13</v>
      </c>
      <c r="Q104" s="34">
        <f>HLOOKUP(Q$2,Models_Results!$B:$AP,$AC104,FALSE)</f>
        <v>10.279</v>
      </c>
      <c r="R104" s="34">
        <f>HLOOKUP(R$2,Models_Results!$B:$AP,$AC104,FALSE)</f>
        <v>6.101</v>
      </c>
      <c r="S104" s="34">
        <f>HLOOKUP(S$2,Models_Results!$B:$AP,$AC104,FALSE)</f>
        <v>7.7709999999999999</v>
      </c>
      <c r="T104" s="34">
        <f>HLOOKUP(T$2,Models_Results!$B:$AP,$AC104,FALSE)</f>
        <v>3.74</v>
      </c>
      <c r="U104" s="34">
        <f>HLOOKUP(U$2,Models_Results!$B:$AP,$AC104,FALSE)</f>
        <v>5.4240000000000004</v>
      </c>
      <c r="V104" s="34">
        <f>HLOOKUP(V$2,Models_Results!$B:$AP,$AC104,FALSE)</f>
        <v>8.1270000000000007</v>
      </c>
      <c r="W104" s="34">
        <f>HLOOKUP(W$2,Models_Results!$B:$AP,$AC104,FALSE)</f>
        <v>11.788</v>
      </c>
      <c r="X104" s="34">
        <f>HLOOKUP(X$2,Models_Results!$B:$AP,$AC104,FALSE)</f>
        <v>6.8179999999999996</v>
      </c>
      <c r="Y104" s="34">
        <f>HLOOKUP(Y$2,Models_Results!$B:$AP,$AC104,FALSE)</f>
        <v>8.5340000000000007</v>
      </c>
      <c r="AC104">
        <v>101</v>
      </c>
    </row>
    <row r="105" spans="1:29" x14ac:dyDescent="0.2">
      <c r="A105">
        <f t="shared" si="1"/>
        <v>2050</v>
      </c>
      <c r="C105">
        <f>HLOOKUP(C$2,Models_Results!$B:$AP,$AC105,FALSE)</f>
        <v>2.1549999999999998</v>
      </c>
      <c r="D105">
        <f>HLOOKUP(D$2,Models_Results!$B:$AP,$AC105,FALSE)</f>
        <v>3.2850000000000001</v>
      </c>
      <c r="E105">
        <f>HLOOKUP(E$2,Models_Results!$B:$AP,$AC105,FALSE)</f>
        <v>3.2109999999999999</v>
      </c>
      <c r="F105">
        <f>HLOOKUP(F$2,Models_Results!$B:$AP,$AC105,FALSE)</f>
        <v>2.63</v>
      </c>
      <c r="G105">
        <f>HLOOKUP(G$2,Models_Results!$B:$AP,$AC105,FALSE)</f>
        <v>4.141</v>
      </c>
      <c r="H105">
        <f>HLOOKUP(H$2,Models_Results!$B:$AP,$AC105,FALSE)</f>
        <v>4.1820000000000004</v>
      </c>
      <c r="I105">
        <f>HLOOKUP(I$2,Models_Results!$B:$AP,$AC105,FALSE)</f>
        <v>3.6989999999999998</v>
      </c>
      <c r="J105">
        <f>HLOOKUP(J$2,Models_Results!$B:$AP,$AC105,FALSE)</f>
        <v>5.694</v>
      </c>
      <c r="K105">
        <f>HLOOKUP(K$2,Models_Results!$B:$AP,$AC105,FALSE)</f>
        <v>1.2410000000000001</v>
      </c>
      <c r="N105" s="34">
        <f>HLOOKUP(N$2,Models_Results!$B:$AP,$AC105,FALSE)</f>
        <v>3.746</v>
      </c>
      <c r="O105" s="34">
        <f>HLOOKUP(O$2,Models_Results!$B:$AP,$AC105,FALSE)</f>
        <v>5.4640000000000004</v>
      </c>
      <c r="P105" s="34">
        <f>HLOOKUP(P$2,Models_Results!$B:$AP,$AC105,FALSE)</f>
        <v>7.1470000000000002</v>
      </c>
      <c r="Q105" s="34">
        <f>HLOOKUP(Q$2,Models_Results!$B:$AP,$AC105,FALSE)</f>
        <v>10.387</v>
      </c>
      <c r="R105" s="34">
        <f>HLOOKUP(R$2,Models_Results!$B:$AP,$AC105,FALSE)</f>
        <v>6.1470000000000002</v>
      </c>
      <c r="S105" s="34">
        <f>HLOOKUP(S$2,Models_Results!$B:$AP,$AC105,FALSE)</f>
        <v>7.8719999999999999</v>
      </c>
      <c r="T105" s="34">
        <f>HLOOKUP(T$2,Models_Results!$B:$AP,$AC105,FALSE)</f>
        <v>3.746</v>
      </c>
      <c r="U105" s="34">
        <f>HLOOKUP(U$2,Models_Results!$B:$AP,$AC105,FALSE)</f>
        <v>5.4640000000000004</v>
      </c>
      <c r="V105" s="34">
        <f>HLOOKUP(V$2,Models_Results!$B:$AP,$AC105,FALSE)</f>
        <v>8.1479999999999997</v>
      </c>
      <c r="W105" s="34">
        <f>HLOOKUP(W$2,Models_Results!$B:$AP,$AC105,FALSE)</f>
        <v>11.916</v>
      </c>
      <c r="X105" s="34">
        <f>HLOOKUP(X$2,Models_Results!$B:$AP,$AC105,FALSE)</f>
        <v>6.8760000000000003</v>
      </c>
      <c r="Y105" s="34">
        <f>HLOOKUP(Y$2,Models_Results!$B:$AP,$AC105,FALSE)</f>
        <v>8.6530000000000005</v>
      </c>
      <c r="AC105">
        <v>102</v>
      </c>
    </row>
    <row r="107" spans="1:29" ht="62.25" customHeight="1" x14ac:dyDescent="0.2"/>
    <row r="108" spans="1:29" x14ac:dyDescent="0.2">
      <c r="C108" s="14"/>
      <c r="D108" s="30"/>
      <c r="E108" s="30"/>
      <c r="F108" s="30"/>
      <c r="G108" s="30"/>
      <c r="H108" s="30"/>
      <c r="I108" s="14"/>
      <c r="J108" s="14"/>
      <c r="K108" s="14"/>
    </row>
    <row r="110" spans="1:29" x14ac:dyDescent="0.2">
      <c r="D110" s="4"/>
      <c r="E110" s="4"/>
      <c r="F110" s="4"/>
      <c r="G110" s="4"/>
      <c r="H11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65E4-0E6A-4365-BA23-09D00C6285E8}">
  <dimension ref="A1:AP202"/>
  <sheetViews>
    <sheetView tabSelected="1" topLeftCell="AF1" workbookViewId="0">
      <selection activeCell="AH15" sqref="AH15"/>
    </sheetView>
  </sheetViews>
  <sheetFormatPr defaultRowHeight="12.75" x14ac:dyDescent="0.2"/>
  <cols>
    <col min="1" max="1" width="11" customWidth="1"/>
    <col min="2" max="2" width="30.7109375" customWidth="1"/>
    <col min="3" max="3" width="32.28515625" customWidth="1"/>
    <col min="4" max="4" width="32.85546875" customWidth="1"/>
    <col min="5" max="5" width="34.5703125" customWidth="1"/>
    <col min="6" max="6" width="34" customWidth="1"/>
    <col min="7" max="7" width="36.140625" customWidth="1"/>
    <col min="8" max="8" width="33.140625" customWidth="1"/>
    <col min="9" max="9" width="36.140625" customWidth="1"/>
    <col min="10" max="12" width="35.5703125" customWidth="1"/>
    <col min="13" max="13" width="34.5703125" customWidth="1"/>
    <col min="14" max="16" width="37.140625" customWidth="1"/>
    <col min="17" max="17" width="36.140625" customWidth="1"/>
    <col min="18" max="18" width="40.140625" customWidth="1"/>
    <col min="19" max="19" width="40.42578125" customWidth="1"/>
    <col min="20" max="20" width="35.7109375" customWidth="1"/>
    <col min="21" max="21" width="33.5703125" customWidth="1"/>
    <col min="22" max="22" width="35.140625" customWidth="1"/>
    <col min="23" max="23" width="36.85546875" customWidth="1"/>
    <col min="24" max="24" width="44.5703125" customWidth="1"/>
    <col min="25" max="25" width="37" customWidth="1"/>
    <col min="26" max="26" width="40" customWidth="1"/>
    <col min="27" max="29" width="38.42578125" customWidth="1"/>
    <col min="30" max="30" width="37.42578125" customWidth="1"/>
    <col min="31" max="31" width="42.140625" customWidth="1"/>
    <col min="32" max="34" width="40" customWidth="1"/>
    <col min="35" max="35" width="39" customWidth="1"/>
    <col min="36" max="36" width="43.7109375" customWidth="1"/>
    <col min="37" max="38" width="41.140625" customWidth="1"/>
    <col min="39" max="40" width="42.7109375" customWidth="1"/>
    <col min="41" max="41" width="36.28515625" customWidth="1"/>
    <col min="42" max="42" width="37.85546875" customWidth="1"/>
  </cols>
  <sheetData>
    <row r="1" spans="1:42" x14ac:dyDescent="0.2">
      <c r="A1" t="s">
        <v>160</v>
      </c>
      <c r="B1" t="s">
        <v>362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368</v>
      </c>
      <c r="I1" t="s">
        <v>369</v>
      </c>
      <c r="J1" t="s">
        <v>370</v>
      </c>
      <c r="K1" t="s">
        <v>371</v>
      </c>
      <c r="L1" t="s">
        <v>372</v>
      </c>
      <c r="M1" t="s">
        <v>373</v>
      </c>
      <c r="N1" t="s">
        <v>374</v>
      </c>
      <c r="O1" t="s">
        <v>375</v>
      </c>
      <c r="P1" t="s">
        <v>376</v>
      </c>
      <c r="Q1" t="s">
        <v>377</v>
      </c>
      <c r="R1" t="s">
        <v>378</v>
      </c>
      <c r="S1" t="s">
        <v>379</v>
      </c>
      <c r="T1" t="s">
        <v>380</v>
      </c>
      <c r="U1" t="s">
        <v>381</v>
      </c>
      <c r="V1" t="s">
        <v>382</v>
      </c>
      <c r="W1" t="s">
        <v>383</v>
      </c>
      <c r="X1" t="s">
        <v>384</v>
      </c>
      <c r="Y1" t="s">
        <v>385</v>
      </c>
      <c r="Z1" t="s">
        <v>386</v>
      </c>
      <c r="AA1" t="s">
        <v>387</v>
      </c>
      <c r="AB1" t="s">
        <v>388</v>
      </c>
      <c r="AC1" t="s">
        <v>389</v>
      </c>
      <c r="AD1" t="s">
        <v>390</v>
      </c>
      <c r="AE1" t="s">
        <v>391</v>
      </c>
      <c r="AF1" t="s">
        <v>392</v>
      </c>
      <c r="AG1" t="s">
        <v>393</v>
      </c>
      <c r="AH1" t="s">
        <v>394</v>
      </c>
      <c r="AI1" t="s">
        <v>395</v>
      </c>
      <c r="AJ1" t="s">
        <v>396</v>
      </c>
      <c r="AK1" t="s">
        <v>397</v>
      </c>
      <c r="AL1" t="s">
        <v>398</v>
      </c>
      <c r="AM1" t="s">
        <v>399</v>
      </c>
      <c r="AN1" t="s">
        <v>400</v>
      </c>
      <c r="AO1" t="s">
        <v>401</v>
      </c>
      <c r="AP1" t="s">
        <v>402</v>
      </c>
    </row>
    <row r="2" spans="1:42" x14ac:dyDescent="0.2">
      <c r="A2" t="s">
        <v>161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162</v>
      </c>
      <c r="B3">
        <v>-8.3000000000000004E-2</v>
      </c>
      <c r="C3">
        <v>0.73299999999999998</v>
      </c>
      <c r="D3">
        <v>0.64900000000000002</v>
      </c>
      <c r="E3">
        <v>0.374</v>
      </c>
      <c r="F3">
        <v>0.35199999999999998</v>
      </c>
      <c r="G3">
        <v>0.76600000000000001</v>
      </c>
      <c r="H3">
        <v>5.8000000000000003E-2</v>
      </c>
      <c r="I3">
        <v>3.1E-2</v>
      </c>
      <c r="J3">
        <v>-2.7E-2</v>
      </c>
      <c r="K3">
        <v>-1.7000000000000001E-2</v>
      </c>
      <c r="L3">
        <v>5.7000000000000002E-2</v>
      </c>
      <c r="M3">
        <v>7.5999999999999998E-2</v>
      </c>
      <c r="N3">
        <v>0.77</v>
      </c>
      <c r="O3">
        <v>0.77800000000000002</v>
      </c>
      <c r="P3">
        <v>0.85599999999999998</v>
      </c>
      <c r="Q3">
        <v>0.93200000000000005</v>
      </c>
      <c r="R3">
        <v>-0.96699999999999997</v>
      </c>
      <c r="S3">
        <v>2.5640000000000001</v>
      </c>
      <c r="T3">
        <v>0.873</v>
      </c>
      <c r="U3">
        <v>-0.74399999999999999</v>
      </c>
      <c r="V3">
        <v>0.158</v>
      </c>
      <c r="W3">
        <v>-0.33100000000000002</v>
      </c>
      <c r="X3">
        <v>-0.42599999999999999</v>
      </c>
      <c r="Y3">
        <v>0.27100000000000002</v>
      </c>
      <c r="Z3">
        <v>-0.28100000000000003</v>
      </c>
      <c r="AA3">
        <v>-0.51900000000000002</v>
      </c>
      <c r="AB3">
        <v>-0.47399999999999998</v>
      </c>
      <c r="AC3">
        <v>-0.13200000000000001</v>
      </c>
      <c r="AD3">
        <v>-4.3999999999999997E-2</v>
      </c>
      <c r="AE3">
        <v>1.0029999999999999</v>
      </c>
      <c r="AF3">
        <v>-0.10100000000000001</v>
      </c>
      <c r="AG3">
        <v>-0.13800000000000001</v>
      </c>
      <c r="AH3">
        <v>-0.255</v>
      </c>
      <c r="AI3">
        <v>-0.14399999999999999</v>
      </c>
      <c r="AJ3">
        <v>-0.84499999999999997</v>
      </c>
      <c r="AK3">
        <v>-0.38900000000000001</v>
      </c>
      <c r="AL3">
        <v>4.5999999999999999E-2</v>
      </c>
      <c r="AM3">
        <v>-0.222</v>
      </c>
      <c r="AN3">
        <v>-0.35899999999999999</v>
      </c>
      <c r="AO3">
        <v>-0.74399999999999999</v>
      </c>
      <c r="AP3">
        <v>0.158</v>
      </c>
    </row>
    <row r="4" spans="1:42" x14ac:dyDescent="0.2">
      <c r="A4" t="s">
        <v>163</v>
      </c>
      <c r="B4">
        <v>-0.23799999999999999</v>
      </c>
      <c r="C4">
        <v>-0.13</v>
      </c>
      <c r="D4">
        <v>-0.30199999999999999</v>
      </c>
      <c r="E4">
        <v>-0.315</v>
      </c>
      <c r="F4">
        <v>-0.192</v>
      </c>
      <c r="G4">
        <v>-0.251</v>
      </c>
      <c r="H4">
        <v>-1.4999999999999999E-2</v>
      </c>
      <c r="I4">
        <v>3.0000000000000001E-3</v>
      </c>
      <c r="J4">
        <v>-0.253</v>
      </c>
      <c r="K4">
        <v>-0.25700000000000001</v>
      </c>
      <c r="L4">
        <v>-0.28199999999999997</v>
      </c>
      <c r="M4">
        <v>-0.30299999999999999</v>
      </c>
      <c r="N4">
        <v>-0.128</v>
      </c>
      <c r="O4">
        <v>-0.129</v>
      </c>
      <c r="P4">
        <v>-0.13800000000000001</v>
      </c>
      <c r="Q4">
        <v>-0.152</v>
      </c>
      <c r="R4">
        <v>0.14899999999999999</v>
      </c>
      <c r="S4">
        <v>-0.61599999999999999</v>
      </c>
      <c r="T4">
        <v>-0.35</v>
      </c>
      <c r="U4">
        <v>-0.28799999999999998</v>
      </c>
      <c r="V4">
        <v>0.36</v>
      </c>
      <c r="W4">
        <v>5.3999999999999999E-2</v>
      </c>
      <c r="X4">
        <v>8.1000000000000003E-2</v>
      </c>
      <c r="Y4">
        <v>-5.5E-2</v>
      </c>
      <c r="Z4">
        <v>0.17199999999999999</v>
      </c>
      <c r="AA4">
        <v>-0.33700000000000002</v>
      </c>
      <c r="AB4">
        <v>-0.34699999999999998</v>
      </c>
      <c r="AC4">
        <v>-0.45200000000000001</v>
      </c>
      <c r="AD4">
        <v>-0.56599999999999995</v>
      </c>
      <c r="AE4">
        <v>-0.182</v>
      </c>
      <c r="AF4">
        <v>0.52300000000000002</v>
      </c>
      <c r="AG4">
        <v>0.55100000000000005</v>
      </c>
      <c r="AH4">
        <v>0.7</v>
      </c>
      <c r="AI4">
        <v>0.77100000000000002</v>
      </c>
      <c r="AJ4">
        <v>0.53900000000000003</v>
      </c>
      <c r="AK4">
        <v>-0.36699999999999999</v>
      </c>
      <c r="AL4">
        <v>-0.502</v>
      </c>
      <c r="AM4">
        <v>0.60899999999999999</v>
      </c>
      <c r="AN4">
        <v>0.8</v>
      </c>
      <c r="AO4">
        <v>-0.28799999999999998</v>
      </c>
      <c r="AP4">
        <v>0.36</v>
      </c>
    </row>
    <row r="5" spans="1:42" x14ac:dyDescent="0.2">
      <c r="A5" t="s">
        <v>164</v>
      </c>
      <c r="B5">
        <v>-0.188</v>
      </c>
      <c r="C5">
        <v>-0.14799999999999999</v>
      </c>
      <c r="D5">
        <v>-0.34300000000000003</v>
      </c>
      <c r="E5">
        <v>-0.315</v>
      </c>
      <c r="F5">
        <v>-0.17599999999999999</v>
      </c>
      <c r="G5">
        <v>-0.28599999999999998</v>
      </c>
      <c r="H5">
        <v>-1.4999999999999999E-2</v>
      </c>
      <c r="I5">
        <v>2E-3</v>
      </c>
      <c r="J5">
        <v>-0.20399999999999999</v>
      </c>
      <c r="K5">
        <v>-0.20699999999999999</v>
      </c>
      <c r="L5">
        <v>-0.23200000000000001</v>
      </c>
      <c r="M5">
        <v>-0.253</v>
      </c>
      <c r="N5">
        <v>-0.14799999999999999</v>
      </c>
      <c r="O5">
        <v>-0.14799999999999999</v>
      </c>
      <c r="P5">
        <v>-0.159</v>
      </c>
      <c r="Q5">
        <v>-0.17399999999999999</v>
      </c>
      <c r="R5">
        <v>0.13</v>
      </c>
      <c r="S5">
        <v>-0.69899999999999995</v>
      </c>
      <c r="T5">
        <v>-0.39400000000000002</v>
      </c>
      <c r="U5">
        <v>-0.191</v>
      </c>
      <c r="V5">
        <v>0.27700000000000002</v>
      </c>
      <c r="W5">
        <v>6.2E-2</v>
      </c>
      <c r="X5">
        <v>9.0999999999999998E-2</v>
      </c>
      <c r="Y5">
        <v>-6.5000000000000002E-2</v>
      </c>
      <c r="Z5">
        <v>0.17199999999999999</v>
      </c>
      <c r="AA5">
        <v>-0.248</v>
      </c>
      <c r="AB5">
        <v>-0.26</v>
      </c>
      <c r="AC5">
        <v>-0.376</v>
      </c>
      <c r="AD5">
        <v>-0.496</v>
      </c>
      <c r="AE5">
        <v>-0.221</v>
      </c>
      <c r="AF5">
        <v>0.439</v>
      </c>
      <c r="AG5">
        <v>0.46600000000000003</v>
      </c>
      <c r="AH5">
        <v>0.61</v>
      </c>
      <c r="AI5">
        <v>0.66900000000000004</v>
      </c>
      <c r="AJ5">
        <v>0.53600000000000003</v>
      </c>
      <c r="AK5">
        <v>-0.28199999999999997</v>
      </c>
      <c r="AL5">
        <v>-0.433</v>
      </c>
      <c r="AM5">
        <v>0.52300000000000002</v>
      </c>
      <c r="AN5">
        <v>0.70499999999999996</v>
      </c>
      <c r="AO5">
        <v>-0.191</v>
      </c>
      <c r="AP5">
        <v>0.27700000000000002</v>
      </c>
    </row>
    <row r="6" spans="1:42" x14ac:dyDescent="0.2">
      <c r="A6" t="s">
        <v>165</v>
      </c>
      <c r="B6">
        <v>-0.13200000000000001</v>
      </c>
      <c r="C6">
        <v>-0.17499999999999999</v>
      </c>
      <c r="D6">
        <v>-0.36899999999999999</v>
      </c>
      <c r="E6">
        <v>-0.30399999999999999</v>
      </c>
      <c r="F6">
        <v>-0.161</v>
      </c>
      <c r="G6">
        <v>-0.315</v>
      </c>
      <c r="H6">
        <v>-1.6E-2</v>
      </c>
      <c r="I6">
        <v>1E-3</v>
      </c>
      <c r="J6">
        <v>-0.14799999999999999</v>
      </c>
      <c r="K6">
        <v>-0.152</v>
      </c>
      <c r="L6">
        <v>-0.17699999999999999</v>
      </c>
      <c r="M6">
        <v>-0.19700000000000001</v>
      </c>
      <c r="N6">
        <v>-0.17599999999999999</v>
      </c>
      <c r="O6">
        <v>-0.17699999999999999</v>
      </c>
      <c r="P6">
        <v>-0.189</v>
      </c>
      <c r="Q6">
        <v>-0.20599999999999999</v>
      </c>
      <c r="R6">
        <v>0.14699999999999999</v>
      </c>
      <c r="S6">
        <v>-0.78200000000000003</v>
      </c>
      <c r="T6">
        <v>-0.42699999999999999</v>
      </c>
      <c r="U6">
        <v>-7.4999999999999997E-2</v>
      </c>
      <c r="V6">
        <v>0.182</v>
      </c>
      <c r="W6">
        <v>7.2999999999999995E-2</v>
      </c>
      <c r="X6">
        <v>0.10199999999999999</v>
      </c>
      <c r="Y6">
        <v>-7.1999999999999995E-2</v>
      </c>
      <c r="Z6">
        <v>0.16400000000000001</v>
      </c>
      <c r="AA6">
        <v>-0.13700000000000001</v>
      </c>
      <c r="AB6">
        <v>-0.15</v>
      </c>
      <c r="AC6">
        <v>-0.27200000000000002</v>
      </c>
      <c r="AD6">
        <v>-0.39</v>
      </c>
      <c r="AE6">
        <v>-0.247</v>
      </c>
      <c r="AF6">
        <v>0.33600000000000002</v>
      </c>
      <c r="AG6">
        <v>0.36199999999999999</v>
      </c>
      <c r="AH6">
        <v>0.49199999999999999</v>
      </c>
      <c r="AI6">
        <v>0.53500000000000003</v>
      </c>
      <c r="AJ6">
        <v>0.51</v>
      </c>
      <c r="AK6">
        <v>-0.17399999999999999</v>
      </c>
      <c r="AL6">
        <v>-0.33200000000000002</v>
      </c>
      <c r="AM6">
        <v>0.41499999999999998</v>
      </c>
      <c r="AN6">
        <v>0.57899999999999996</v>
      </c>
      <c r="AO6">
        <v>-7.4999999999999997E-2</v>
      </c>
      <c r="AP6">
        <v>0.182</v>
      </c>
    </row>
    <row r="7" spans="1:42" x14ac:dyDescent="0.2">
      <c r="A7" t="s">
        <v>166</v>
      </c>
      <c r="B7">
        <v>-7.4999999999999997E-2</v>
      </c>
      <c r="C7">
        <v>-0.20100000000000001</v>
      </c>
      <c r="D7">
        <v>-0.376</v>
      </c>
      <c r="E7">
        <v>-0.27900000000000003</v>
      </c>
      <c r="F7">
        <v>-0.14599999999999999</v>
      </c>
      <c r="G7">
        <v>-0.33200000000000002</v>
      </c>
      <c r="H7">
        <v>-1.7000000000000001E-2</v>
      </c>
      <c r="I7">
        <v>-1E-3</v>
      </c>
      <c r="J7">
        <v>-9.1999999999999998E-2</v>
      </c>
      <c r="K7">
        <v>-9.6000000000000002E-2</v>
      </c>
      <c r="L7">
        <v>-0.122</v>
      </c>
      <c r="M7">
        <v>-0.14099999999999999</v>
      </c>
      <c r="N7">
        <v>-0.20399999999999999</v>
      </c>
      <c r="O7">
        <v>-0.20499999999999999</v>
      </c>
      <c r="P7">
        <v>-0.22</v>
      </c>
      <c r="Q7">
        <v>-0.23899999999999999</v>
      </c>
      <c r="R7">
        <v>0.185</v>
      </c>
      <c r="S7">
        <v>-0.85199999999999998</v>
      </c>
      <c r="T7">
        <v>-0.44</v>
      </c>
      <c r="U7">
        <v>4.5999999999999999E-2</v>
      </c>
      <c r="V7">
        <v>9.2999999999999999E-2</v>
      </c>
      <c r="W7">
        <v>8.8999999999999996E-2</v>
      </c>
      <c r="X7">
        <v>0.11899999999999999</v>
      </c>
      <c r="Y7">
        <v>-7.6999999999999999E-2</v>
      </c>
      <c r="Z7">
        <v>0.153</v>
      </c>
      <c r="AA7">
        <v>-0.02</v>
      </c>
      <c r="AB7">
        <v>-3.4000000000000002E-2</v>
      </c>
      <c r="AC7">
        <v>-0.158</v>
      </c>
      <c r="AD7">
        <v>-0.26900000000000002</v>
      </c>
      <c r="AE7">
        <v>-0.26600000000000001</v>
      </c>
      <c r="AF7">
        <v>0.23599999999999999</v>
      </c>
      <c r="AG7">
        <v>0.25900000000000001</v>
      </c>
      <c r="AH7">
        <v>0.372</v>
      </c>
      <c r="AI7">
        <v>0.39700000000000002</v>
      </c>
      <c r="AJ7">
        <v>0.47399999999999998</v>
      </c>
      <c r="AK7">
        <v>-5.8999999999999997E-2</v>
      </c>
      <c r="AL7">
        <v>-0.219</v>
      </c>
      <c r="AM7">
        <v>0.308</v>
      </c>
      <c r="AN7">
        <v>0.45</v>
      </c>
      <c r="AO7">
        <v>4.5999999999999999E-2</v>
      </c>
      <c r="AP7">
        <v>9.2999999999999999E-2</v>
      </c>
    </row>
    <row r="8" spans="1:42" x14ac:dyDescent="0.2">
      <c r="A8" t="s">
        <v>167</v>
      </c>
      <c r="B8">
        <v>-0.02</v>
      </c>
      <c r="C8">
        <v>-0.224</v>
      </c>
      <c r="D8">
        <v>-0.36399999999999999</v>
      </c>
      <c r="E8">
        <v>-0.24399999999999999</v>
      </c>
      <c r="F8">
        <v>-0.13</v>
      </c>
      <c r="G8">
        <v>-0.33600000000000002</v>
      </c>
      <c r="H8">
        <v>-1.7999999999999999E-2</v>
      </c>
      <c r="I8">
        <v>-3.0000000000000001E-3</v>
      </c>
      <c r="J8">
        <v>-3.6999999999999998E-2</v>
      </c>
      <c r="K8">
        <v>-4.1000000000000002E-2</v>
      </c>
      <c r="L8">
        <v>-6.7000000000000004E-2</v>
      </c>
      <c r="M8">
        <v>-8.4000000000000005E-2</v>
      </c>
      <c r="N8">
        <v>-0.22900000000000001</v>
      </c>
      <c r="O8">
        <v>-0.23100000000000001</v>
      </c>
      <c r="P8">
        <v>-0.248</v>
      </c>
      <c r="Q8">
        <v>-0.27</v>
      </c>
      <c r="R8">
        <v>0.23699999999999999</v>
      </c>
      <c r="S8">
        <v>-0.90700000000000003</v>
      </c>
      <c r="T8">
        <v>-0.435</v>
      </c>
      <c r="U8">
        <v>0.16500000000000001</v>
      </c>
      <c r="V8">
        <v>1.4E-2</v>
      </c>
      <c r="W8">
        <v>0.109</v>
      </c>
      <c r="X8">
        <v>0.13900000000000001</v>
      </c>
      <c r="Y8">
        <v>-0.08</v>
      </c>
      <c r="Z8">
        <v>0.14000000000000001</v>
      </c>
      <c r="AA8">
        <v>9.8000000000000004E-2</v>
      </c>
      <c r="AB8">
        <v>8.3000000000000004E-2</v>
      </c>
      <c r="AC8">
        <v>-0.04</v>
      </c>
      <c r="AD8">
        <v>-0.14000000000000001</v>
      </c>
      <c r="AE8">
        <v>-0.28000000000000003</v>
      </c>
      <c r="AF8">
        <v>0.14399999999999999</v>
      </c>
      <c r="AG8">
        <v>0.16500000000000001</v>
      </c>
      <c r="AH8">
        <v>0.26</v>
      </c>
      <c r="AI8">
        <v>0.26400000000000001</v>
      </c>
      <c r="AJ8">
        <v>0.434</v>
      </c>
      <c r="AK8">
        <v>5.7000000000000002E-2</v>
      </c>
      <c r="AL8">
        <v>-0.10199999999999999</v>
      </c>
      <c r="AM8">
        <v>0.20899999999999999</v>
      </c>
      <c r="AN8">
        <v>0.32700000000000001</v>
      </c>
      <c r="AO8">
        <v>0.16500000000000001</v>
      </c>
      <c r="AP8">
        <v>1.4E-2</v>
      </c>
    </row>
    <row r="9" spans="1:42" x14ac:dyDescent="0.2">
      <c r="A9" t="s">
        <v>168</v>
      </c>
      <c r="B9">
        <v>3.4000000000000002E-2</v>
      </c>
      <c r="C9">
        <v>-0.24299999999999999</v>
      </c>
      <c r="D9">
        <v>-0.33700000000000002</v>
      </c>
      <c r="E9">
        <v>-0.19900000000000001</v>
      </c>
      <c r="F9">
        <v>-0.113</v>
      </c>
      <c r="G9">
        <v>-0.32800000000000001</v>
      </c>
      <c r="H9">
        <v>-1.7999999999999999E-2</v>
      </c>
      <c r="I9">
        <v>-5.0000000000000001E-3</v>
      </c>
      <c r="J9">
        <v>1.7000000000000001E-2</v>
      </c>
      <c r="K9">
        <v>1.2999999999999999E-2</v>
      </c>
      <c r="L9">
        <v>-1.4E-2</v>
      </c>
      <c r="M9">
        <v>-2.9000000000000001E-2</v>
      </c>
      <c r="N9">
        <v>-0.251</v>
      </c>
      <c r="O9">
        <v>-0.253</v>
      </c>
      <c r="P9">
        <v>-0.27300000000000002</v>
      </c>
      <c r="Q9">
        <v>-0.29799999999999999</v>
      </c>
      <c r="R9">
        <v>0.29699999999999999</v>
      </c>
      <c r="S9">
        <v>-0.94799999999999995</v>
      </c>
      <c r="T9">
        <v>-0.41499999999999998</v>
      </c>
      <c r="U9">
        <v>0.28199999999999997</v>
      </c>
      <c r="V9">
        <v>-5.3999999999999999E-2</v>
      </c>
      <c r="W9">
        <v>0.13400000000000001</v>
      </c>
      <c r="X9">
        <v>0.16400000000000001</v>
      </c>
      <c r="Y9">
        <v>-8.2000000000000003E-2</v>
      </c>
      <c r="Z9">
        <v>0.127</v>
      </c>
      <c r="AA9">
        <v>0.21299999999999999</v>
      </c>
      <c r="AB9">
        <v>0.19900000000000001</v>
      </c>
      <c r="AC9">
        <v>7.8E-2</v>
      </c>
      <c r="AD9">
        <v>-5.0000000000000001E-3</v>
      </c>
      <c r="AE9">
        <v>-0.28999999999999998</v>
      </c>
      <c r="AF9">
        <v>6.3E-2</v>
      </c>
      <c r="AG9">
        <v>8.1000000000000003E-2</v>
      </c>
      <c r="AH9">
        <v>0.157</v>
      </c>
      <c r="AI9">
        <v>0.14099999999999999</v>
      </c>
      <c r="AJ9">
        <v>0.39200000000000002</v>
      </c>
      <c r="AK9">
        <v>0.17299999999999999</v>
      </c>
      <c r="AL9">
        <v>1.7999999999999999E-2</v>
      </c>
      <c r="AM9">
        <v>0.121</v>
      </c>
      <c r="AN9">
        <v>0.214</v>
      </c>
      <c r="AO9">
        <v>0.28199999999999997</v>
      </c>
      <c r="AP9">
        <v>-5.3999999999999999E-2</v>
      </c>
    </row>
    <row r="10" spans="1:42" x14ac:dyDescent="0.2">
      <c r="A10" t="s">
        <v>169</v>
      </c>
      <c r="B10">
        <v>8.6999999999999994E-2</v>
      </c>
      <c r="C10">
        <v>-0.25900000000000001</v>
      </c>
      <c r="D10">
        <v>-0.29799999999999999</v>
      </c>
      <c r="E10">
        <v>-0.14699999999999999</v>
      </c>
      <c r="F10">
        <v>-9.4E-2</v>
      </c>
      <c r="G10">
        <v>-0.312</v>
      </c>
      <c r="H10">
        <v>-1.9E-2</v>
      </c>
      <c r="I10">
        <v>-7.0000000000000001E-3</v>
      </c>
      <c r="J10">
        <v>6.9000000000000006E-2</v>
      </c>
      <c r="K10">
        <v>6.5000000000000002E-2</v>
      </c>
      <c r="L10">
        <v>3.9E-2</v>
      </c>
      <c r="M10">
        <v>2.7E-2</v>
      </c>
      <c r="N10">
        <v>-0.26900000000000002</v>
      </c>
      <c r="O10">
        <v>-0.27100000000000002</v>
      </c>
      <c r="P10">
        <v>-0.29499999999999998</v>
      </c>
      <c r="Q10">
        <v>-0.32100000000000001</v>
      </c>
      <c r="R10">
        <v>0.36399999999999999</v>
      </c>
      <c r="S10">
        <v>-0.97499999999999998</v>
      </c>
      <c r="T10">
        <v>-0.38200000000000001</v>
      </c>
      <c r="U10">
        <v>0.39600000000000002</v>
      </c>
      <c r="V10">
        <v>-0.11</v>
      </c>
      <c r="W10">
        <v>0.16300000000000001</v>
      </c>
      <c r="X10">
        <v>0.193</v>
      </c>
      <c r="Y10">
        <v>-8.3000000000000004E-2</v>
      </c>
      <c r="Z10">
        <v>0.113</v>
      </c>
      <c r="AA10">
        <v>0.32700000000000001</v>
      </c>
      <c r="AB10">
        <v>0.313</v>
      </c>
      <c r="AC10">
        <v>0.19700000000000001</v>
      </c>
      <c r="AD10">
        <v>0.13400000000000001</v>
      </c>
      <c r="AE10">
        <v>-0.29699999999999999</v>
      </c>
      <c r="AF10">
        <v>-6.0000000000000001E-3</v>
      </c>
      <c r="AG10">
        <v>0.01</v>
      </c>
      <c r="AH10">
        <v>6.6000000000000003E-2</v>
      </c>
      <c r="AI10">
        <v>2.8000000000000001E-2</v>
      </c>
      <c r="AJ10">
        <v>0.34799999999999998</v>
      </c>
      <c r="AK10">
        <v>0.28699999999999998</v>
      </c>
      <c r="AL10">
        <v>0.14000000000000001</v>
      </c>
      <c r="AM10">
        <v>4.3999999999999997E-2</v>
      </c>
      <c r="AN10">
        <v>0.112</v>
      </c>
      <c r="AO10">
        <v>0.39600000000000002</v>
      </c>
      <c r="AP10">
        <v>-0.11</v>
      </c>
    </row>
    <row r="11" spans="1:42" x14ac:dyDescent="0.2">
      <c r="A11" t="s">
        <v>170</v>
      </c>
      <c r="B11">
        <v>0.13800000000000001</v>
      </c>
      <c r="C11">
        <v>-0.27200000000000002</v>
      </c>
      <c r="D11">
        <v>-0.25</v>
      </c>
      <c r="E11">
        <v>-9.0999999999999998E-2</v>
      </c>
      <c r="F11">
        <v>-7.4999999999999997E-2</v>
      </c>
      <c r="G11">
        <v>-0.28699999999999998</v>
      </c>
      <c r="H11">
        <v>-0.02</v>
      </c>
      <c r="I11">
        <v>-8.9999999999999993E-3</v>
      </c>
      <c r="J11">
        <v>0.12</v>
      </c>
      <c r="K11">
        <v>0.11600000000000001</v>
      </c>
      <c r="L11">
        <v>0.09</v>
      </c>
      <c r="M11">
        <v>8.2000000000000003E-2</v>
      </c>
      <c r="N11">
        <v>-0.28299999999999997</v>
      </c>
      <c r="O11">
        <v>-0.28599999999999998</v>
      </c>
      <c r="P11">
        <v>-0.313</v>
      </c>
      <c r="Q11">
        <v>-0.34100000000000003</v>
      </c>
      <c r="R11">
        <v>0.435</v>
      </c>
      <c r="S11">
        <v>-0.99199999999999999</v>
      </c>
      <c r="T11">
        <v>-0.34</v>
      </c>
      <c r="U11">
        <v>0.50600000000000001</v>
      </c>
      <c r="V11">
        <v>-0.155</v>
      </c>
      <c r="W11">
        <v>0.19500000000000001</v>
      </c>
      <c r="X11">
        <v>0.22600000000000001</v>
      </c>
      <c r="Y11">
        <v>-8.3000000000000004E-2</v>
      </c>
      <c r="Z11">
        <v>9.9000000000000005E-2</v>
      </c>
      <c r="AA11">
        <v>0.438</v>
      </c>
      <c r="AB11">
        <v>0.42499999999999999</v>
      </c>
      <c r="AC11">
        <v>0.316</v>
      </c>
      <c r="AD11">
        <v>0.27700000000000002</v>
      </c>
      <c r="AE11">
        <v>-0.3</v>
      </c>
      <c r="AF11">
        <v>-6.4000000000000001E-2</v>
      </c>
      <c r="AG11">
        <v>-5.0999999999999997E-2</v>
      </c>
      <c r="AH11">
        <v>-1.4E-2</v>
      </c>
      <c r="AI11">
        <v>-7.1999999999999995E-2</v>
      </c>
      <c r="AJ11">
        <v>0.30399999999999999</v>
      </c>
      <c r="AK11">
        <v>0.39900000000000002</v>
      </c>
      <c r="AL11">
        <v>0.26300000000000001</v>
      </c>
      <c r="AM11">
        <v>-2.1999999999999999E-2</v>
      </c>
      <c r="AN11">
        <v>2.1000000000000001E-2</v>
      </c>
      <c r="AO11">
        <v>0.50600000000000001</v>
      </c>
      <c r="AP11">
        <v>-0.155</v>
      </c>
    </row>
    <row r="12" spans="1:42" x14ac:dyDescent="0.2">
      <c r="A12" t="s">
        <v>171</v>
      </c>
      <c r="B12">
        <v>0.188</v>
      </c>
      <c r="C12">
        <v>-0.28100000000000003</v>
      </c>
      <c r="D12">
        <v>-0.19600000000000001</v>
      </c>
      <c r="E12">
        <v>-0.03</v>
      </c>
      <c r="F12">
        <v>-5.3999999999999999E-2</v>
      </c>
      <c r="G12">
        <v>-0.25700000000000001</v>
      </c>
      <c r="H12">
        <v>-0.02</v>
      </c>
      <c r="I12">
        <v>-1.0999999999999999E-2</v>
      </c>
      <c r="J12">
        <v>0.16900000000000001</v>
      </c>
      <c r="K12">
        <v>0.16600000000000001</v>
      </c>
      <c r="L12">
        <v>0.14099999999999999</v>
      </c>
      <c r="M12">
        <v>0.13600000000000001</v>
      </c>
      <c r="N12">
        <v>-0.29499999999999998</v>
      </c>
      <c r="O12">
        <v>-0.29799999999999999</v>
      </c>
      <c r="P12">
        <v>-0.32700000000000001</v>
      </c>
      <c r="Q12">
        <v>-0.35799999999999998</v>
      </c>
      <c r="R12">
        <v>0.50900000000000001</v>
      </c>
      <c r="S12">
        <v>-1</v>
      </c>
      <c r="T12">
        <v>-0.28999999999999998</v>
      </c>
      <c r="U12">
        <v>0.61199999999999999</v>
      </c>
      <c r="V12">
        <v>-0.189</v>
      </c>
      <c r="W12">
        <v>0.23200000000000001</v>
      </c>
      <c r="X12">
        <v>0.26300000000000001</v>
      </c>
      <c r="Y12">
        <v>-8.1000000000000003E-2</v>
      </c>
      <c r="Z12">
        <v>8.5000000000000006E-2</v>
      </c>
      <c r="AA12">
        <v>0.54800000000000004</v>
      </c>
      <c r="AB12">
        <v>0.53400000000000003</v>
      </c>
      <c r="AC12">
        <v>0.436</v>
      </c>
      <c r="AD12">
        <v>0.42399999999999999</v>
      </c>
      <c r="AE12">
        <v>-0.3</v>
      </c>
      <c r="AF12">
        <v>-0.112</v>
      </c>
      <c r="AG12">
        <v>-0.10100000000000001</v>
      </c>
      <c r="AH12">
        <v>-8.3000000000000004E-2</v>
      </c>
      <c r="AI12">
        <v>-0.16200000000000001</v>
      </c>
      <c r="AJ12">
        <v>0.25900000000000001</v>
      </c>
      <c r="AK12">
        <v>0.51</v>
      </c>
      <c r="AL12">
        <v>0.38700000000000001</v>
      </c>
      <c r="AM12">
        <v>-7.6999999999999999E-2</v>
      </c>
      <c r="AN12">
        <v>-5.8999999999999997E-2</v>
      </c>
      <c r="AO12">
        <v>0.61199999999999999</v>
      </c>
      <c r="AP12">
        <v>-0.189</v>
      </c>
    </row>
    <row r="13" spans="1:42" x14ac:dyDescent="0.2">
      <c r="A13" t="s">
        <v>172</v>
      </c>
      <c r="B13">
        <v>0.23599999999999999</v>
      </c>
      <c r="C13">
        <v>-0.28699999999999998</v>
      </c>
      <c r="D13">
        <v>-0.13600000000000001</v>
      </c>
      <c r="E13">
        <v>3.2000000000000001E-2</v>
      </c>
      <c r="F13">
        <v>-3.2000000000000001E-2</v>
      </c>
      <c r="G13">
        <v>-0.222</v>
      </c>
      <c r="H13">
        <v>-2.1000000000000001E-2</v>
      </c>
      <c r="I13">
        <v>-1.2999999999999999E-2</v>
      </c>
      <c r="J13">
        <v>0.218</v>
      </c>
      <c r="K13">
        <v>0.214</v>
      </c>
      <c r="L13">
        <v>0.19</v>
      </c>
      <c r="M13">
        <v>0.19</v>
      </c>
      <c r="N13">
        <v>-0.30199999999999999</v>
      </c>
      <c r="O13">
        <v>-0.30599999999999999</v>
      </c>
      <c r="P13">
        <v>-0.33800000000000002</v>
      </c>
      <c r="Q13">
        <v>-0.37</v>
      </c>
      <c r="R13">
        <v>0.58399999999999996</v>
      </c>
      <c r="S13">
        <v>-0.999</v>
      </c>
      <c r="T13">
        <v>-0.23400000000000001</v>
      </c>
      <c r="U13">
        <v>0.71599999999999997</v>
      </c>
      <c r="V13">
        <v>-0.21299999999999999</v>
      </c>
      <c r="W13">
        <v>0.27100000000000002</v>
      </c>
      <c r="X13">
        <v>0.30299999999999999</v>
      </c>
      <c r="Y13">
        <v>-7.8E-2</v>
      </c>
      <c r="Z13">
        <v>7.0999999999999994E-2</v>
      </c>
      <c r="AA13">
        <v>0.65400000000000003</v>
      </c>
      <c r="AB13">
        <v>0.64200000000000002</v>
      </c>
      <c r="AC13">
        <v>0.55500000000000005</v>
      </c>
      <c r="AD13">
        <v>0.57399999999999995</v>
      </c>
      <c r="AE13">
        <v>-0.29799999999999999</v>
      </c>
      <c r="AF13">
        <v>-0.15</v>
      </c>
      <c r="AG13">
        <v>-0.14099999999999999</v>
      </c>
      <c r="AH13">
        <v>-0.14199999999999999</v>
      </c>
      <c r="AI13">
        <v>-0.23899999999999999</v>
      </c>
      <c r="AJ13">
        <v>0.215</v>
      </c>
      <c r="AK13">
        <v>0.62</v>
      </c>
      <c r="AL13">
        <v>0.51100000000000001</v>
      </c>
      <c r="AM13">
        <v>-0.122</v>
      </c>
      <c r="AN13">
        <v>-0.129</v>
      </c>
      <c r="AO13">
        <v>0.71599999999999997</v>
      </c>
      <c r="AP13">
        <v>-0.21299999999999999</v>
      </c>
    </row>
    <row r="14" spans="1:42" x14ac:dyDescent="0.2">
      <c r="A14" t="s">
        <v>173</v>
      </c>
      <c r="B14">
        <v>0.28299999999999997</v>
      </c>
      <c r="C14">
        <v>-0.28899999999999998</v>
      </c>
      <c r="D14">
        <v>-7.1999999999999995E-2</v>
      </c>
      <c r="E14">
        <v>9.7000000000000003E-2</v>
      </c>
      <c r="F14">
        <v>-8.9999999999999993E-3</v>
      </c>
      <c r="G14">
        <v>-0.184</v>
      </c>
      <c r="H14">
        <v>-2.1000000000000001E-2</v>
      </c>
      <c r="I14">
        <v>-1.4999999999999999E-2</v>
      </c>
      <c r="J14">
        <v>0.26500000000000001</v>
      </c>
      <c r="K14">
        <v>0.26100000000000001</v>
      </c>
      <c r="L14">
        <v>0.23899999999999999</v>
      </c>
      <c r="M14">
        <v>0.24299999999999999</v>
      </c>
      <c r="N14">
        <v>-0.307</v>
      </c>
      <c r="O14">
        <v>-0.311</v>
      </c>
      <c r="P14">
        <v>-0.34599999999999997</v>
      </c>
      <c r="Q14">
        <v>-0.38</v>
      </c>
      <c r="R14">
        <v>0.66</v>
      </c>
      <c r="S14">
        <v>-0.99099999999999999</v>
      </c>
      <c r="T14">
        <v>-0.17399999999999999</v>
      </c>
      <c r="U14">
        <v>0.81599999999999995</v>
      </c>
      <c r="V14">
        <v>-0.22800000000000001</v>
      </c>
      <c r="W14">
        <v>0.314</v>
      </c>
      <c r="X14">
        <v>0.34599999999999997</v>
      </c>
      <c r="Y14">
        <v>-7.4999999999999997E-2</v>
      </c>
      <c r="Z14">
        <v>5.7000000000000002E-2</v>
      </c>
      <c r="AA14">
        <v>0.75900000000000001</v>
      </c>
      <c r="AB14">
        <v>0.748</v>
      </c>
      <c r="AC14">
        <v>0.67400000000000004</v>
      </c>
      <c r="AD14">
        <v>0.72699999999999998</v>
      </c>
      <c r="AE14">
        <v>-0.29199999999999998</v>
      </c>
      <c r="AF14">
        <v>-0.17699999999999999</v>
      </c>
      <c r="AG14">
        <v>-0.17199999999999999</v>
      </c>
      <c r="AH14">
        <v>-0.19</v>
      </c>
      <c r="AI14">
        <v>-0.30499999999999999</v>
      </c>
      <c r="AJ14">
        <v>0.17</v>
      </c>
      <c r="AK14">
        <v>0.72799999999999998</v>
      </c>
      <c r="AL14">
        <v>0.63700000000000001</v>
      </c>
      <c r="AM14">
        <v>-0.158</v>
      </c>
      <c r="AN14">
        <v>-0.187</v>
      </c>
      <c r="AO14">
        <v>0.81599999999999995</v>
      </c>
      <c r="AP14">
        <v>-0.22800000000000001</v>
      </c>
    </row>
    <row r="15" spans="1:42" x14ac:dyDescent="0.2">
      <c r="A15" t="s">
        <v>174</v>
      </c>
      <c r="B15">
        <v>0.32900000000000001</v>
      </c>
      <c r="C15">
        <v>-0.28899999999999998</v>
      </c>
      <c r="D15">
        <v>-6.0000000000000001E-3</v>
      </c>
      <c r="E15">
        <v>0.16200000000000001</v>
      </c>
      <c r="F15">
        <v>1.4E-2</v>
      </c>
      <c r="G15">
        <v>-0.14199999999999999</v>
      </c>
      <c r="H15">
        <v>-2.1000000000000001E-2</v>
      </c>
      <c r="I15">
        <v>-1.7999999999999999E-2</v>
      </c>
      <c r="J15">
        <v>0.311</v>
      </c>
      <c r="K15">
        <v>0.307</v>
      </c>
      <c r="L15">
        <v>0.28599999999999998</v>
      </c>
      <c r="M15">
        <v>0.29599999999999999</v>
      </c>
      <c r="N15">
        <v>-0.309</v>
      </c>
      <c r="O15">
        <v>-0.313</v>
      </c>
      <c r="P15">
        <v>-0.35</v>
      </c>
      <c r="Q15">
        <v>-0.38600000000000001</v>
      </c>
      <c r="R15">
        <v>0.73599999999999999</v>
      </c>
      <c r="S15">
        <v>-0.97599999999999998</v>
      </c>
      <c r="T15">
        <v>-0.111</v>
      </c>
      <c r="U15">
        <v>0.91300000000000003</v>
      </c>
      <c r="V15">
        <v>-0.23300000000000001</v>
      </c>
      <c r="W15">
        <v>0.35899999999999999</v>
      </c>
      <c r="X15">
        <v>0.39200000000000002</v>
      </c>
      <c r="Y15">
        <v>-7.0000000000000007E-2</v>
      </c>
      <c r="Z15">
        <v>4.2999999999999997E-2</v>
      </c>
      <c r="AA15">
        <v>0.86199999999999999</v>
      </c>
      <c r="AB15">
        <v>0.85199999999999998</v>
      </c>
      <c r="AC15">
        <v>0.79200000000000004</v>
      </c>
      <c r="AD15">
        <v>0.88400000000000001</v>
      </c>
      <c r="AE15">
        <v>-0.28399999999999997</v>
      </c>
      <c r="AF15">
        <v>-0.19600000000000001</v>
      </c>
      <c r="AG15">
        <v>-0.192</v>
      </c>
      <c r="AH15">
        <v>-0.22800000000000001</v>
      </c>
      <c r="AI15">
        <v>-0.36</v>
      </c>
      <c r="AJ15">
        <v>0.126</v>
      </c>
      <c r="AK15">
        <v>0.83399999999999996</v>
      </c>
      <c r="AL15">
        <v>0.76300000000000001</v>
      </c>
      <c r="AM15">
        <v>-0.183</v>
      </c>
      <c r="AN15">
        <v>-0.23499999999999999</v>
      </c>
      <c r="AO15">
        <v>0.91300000000000003</v>
      </c>
      <c r="AP15">
        <v>-0.23300000000000001</v>
      </c>
    </row>
    <row r="16" spans="1:42" x14ac:dyDescent="0.2">
      <c r="A16" t="s">
        <v>175</v>
      </c>
      <c r="B16">
        <v>0.374</v>
      </c>
      <c r="C16">
        <v>-0.28599999999999998</v>
      </c>
      <c r="D16">
        <v>6.0999999999999999E-2</v>
      </c>
      <c r="E16">
        <v>0.22800000000000001</v>
      </c>
      <c r="F16">
        <v>3.9E-2</v>
      </c>
      <c r="G16">
        <v>-9.8000000000000004E-2</v>
      </c>
      <c r="H16">
        <v>-2.1000000000000001E-2</v>
      </c>
      <c r="I16">
        <v>-0.02</v>
      </c>
      <c r="J16">
        <v>0.35599999999999998</v>
      </c>
      <c r="K16">
        <v>0.35199999999999998</v>
      </c>
      <c r="L16">
        <v>0.33300000000000002</v>
      </c>
      <c r="M16">
        <v>0.34899999999999998</v>
      </c>
      <c r="N16">
        <v>-0.308</v>
      </c>
      <c r="O16">
        <v>-0.312</v>
      </c>
      <c r="P16">
        <v>-0.35199999999999998</v>
      </c>
      <c r="Q16">
        <v>-0.38800000000000001</v>
      </c>
      <c r="R16">
        <v>0.81100000000000005</v>
      </c>
      <c r="S16">
        <v>-0.95599999999999996</v>
      </c>
      <c r="T16">
        <v>-4.4999999999999998E-2</v>
      </c>
      <c r="U16">
        <v>1.0069999999999999</v>
      </c>
      <c r="V16">
        <v>-0.23100000000000001</v>
      </c>
      <c r="W16">
        <v>0.40799999999999997</v>
      </c>
      <c r="X16">
        <v>0.441</v>
      </c>
      <c r="Y16">
        <v>-6.4000000000000001E-2</v>
      </c>
      <c r="Z16">
        <v>2.9000000000000001E-2</v>
      </c>
      <c r="AA16">
        <v>0.96199999999999997</v>
      </c>
      <c r="AB16">
        <v>0.95399999999999996</v>
      </c>
      <c r="AC16">
        <v>0.91100000000000003</v>
      </c>
      <c r="AD16">
        <v>1.044</v>
      </c>
      <c r="AE16">
        <v>-0.27300000000000002</v>
      </c>
      <c r="AF16">
        <v>-0.20599999999999999</v>
      </c>
      <c r="AG16">
        <v>-0.20499999999999999</v>
      </c>
      <c r="AH16">
        <v>-0.25700000000000001</v>
      </c>
      <c r="AI16">
        <v>-0.40300000000000002</v>
      </c>
      <c r="AJ16">
        <v>8.3000000000000004E-2</v>
      </c>
      <c r="AK16">
        <v>0.93799999999999994</v>
      </c>
      <c r="AL16">
        <v>0.89</v>
      </c>
      <c r="AM16">
        <v>-0.2</v>
      </c>
      <c r="AN16">
        <v>-0.27300000000000002</v>
      </c>
      <c r="AO16">
        <v>1.0069999999999999</v>
      </c>
      <c r="AP16">
        <v>-0.23100000000000001</v>
      </c>
    </row>
    <row r="17" spans="1:42" x14ac:dyDescent="0.2">
      <c r="A17" t="s">
        <v>176</v>
      </c>
      <c r="B17">
        <v>0.41699999999999998</v>
      </c>
      <c r="C17">
        <v>-0.28000000000000003</v>
      </c>
      <c r="D17">
        <v>0.13</v>
      </c>
      <c r="E17">
        <v>0.29399999999999998</v>
      </c>
      <c r="F17">
        <v>6.5000000000000002E-2</v>
      </c>
      <c r="G17">
        <v>-5.1999999999999998E-2</v>
      </c>
      <c r="H17">
        <v>-2.1000000000000001E-2</v>
      </c>
      <c r="I17">
        <v>-2.1999999999999999E-2</v>
      </c>
      <c r="J17">
        <v>0.4</v>
      </c>
      <c r="K17">
        <v>0.39600000000000002</v>
      </c>
      <c r="L17">
        <v>0.379</v>
      </c>
      <c r="M17">
        <v>0.40100000000000002</v>
      </c>
      <c r="N17">
        <v>-0.30399999999999999</v>
      </c>
      <c r="O17">
        <v>-0.309</v>
      </c>
      <c r="P17">
        <v>-0.35099999999999998</v>
      </c>
      <c r="Q17">
        <v>-0.38700000000000001</v>
      </c>
      <c r="R17">
        <v>0.88600000000000001</v>
      </c>
      <c r="S17">
        <v>-0.93100000000000005</v>
      </c>
      <c r="T17">
        <v>2.1999999999999999E-2</v>
      </c>
      <c r="U17">
        <v>1.0980000000000001</v>
      </c>
      <c r="V17">
        <v>-0.221</v>
      </c>
      <c r="W17">
        <v>0.45800000000000002</v>
      </c>
      <c r="X17">
        <v>0.49199999999999999</v>
      </c>
      <c r="Y17">
        <v>-5.7000000000000002E-2</v>
      </c>
      <c r="Z17">
        <v>1.6E-2</v>
      </c>
      <c r="AA17">
        <v>1.0609999999999999</v>
      </c>
      <c r="AB17">
        <v>1.054</v>
      </c>
      <c r="AC17">
        <v>1.0289999999999999</v>
      </c>
      <c r="AD17">
        <v>1.2070000000000001</v>
      </c>
      <c r="AE17">
        <v>-0.25900000000000001</v>
      </c>
      <c r="AF17">
        <v>-0.20699999999999999</v>
      </c>
      <c r="AG17">
        <v>-0.20799999999999999</v>
      </c>
      <c r="AH17">
        <v>-0.27600000000000002</v>
      </c>
      <c r="AI17">
        <v>-0.434</v>
      </c>
      <c r="AJ17">
        <v>4.1000000000000002E-2</v>
      </c>
      <c r="AK17">
        <v>1.042</v>
      </c>
      <c r="AL17">
        <v>1.018</v>
      </c>
      <c r="AM17">
        <v>-0.20799999999999999</v>
      </c>
      <c r="AN17">
        <v>-0.30099999999999999</v>
      </c>
      <c r="AO17">
        <v>1.0980000000000001</v>
      </c>
      <c r="AP17">
        <v>-0.221</v>
      </c>
    </row>
    <row r="18" spans="1:42" x14ac:dyDescent="0.2">
      <c r="A18" t="s">
        <v>177</v>
      </c>
      <c r="B18">
        <v>0.45900000000000002</v>
      </c>
      <c r="C18">
        <v>-0.27200000000000002</v>
      </c>
      <c r="D18">
        <v>0.19900000000000001</v>
      </c>
      <c r="E18">
        <v>0.35899999999999999</v>
      </c>
      <c r="F18">
        <v>9.0999999999999998E-2</v>
      </c>
      <c r="G18">
        <v>-5.0000000000000001E-3</v>
      </c>
      <c r="H18">
        <v>-2.1000000000000001E-2</v>
      </c>
      <c r="I18">
        <v>-2.4E-2</v>
      </c>
      <c r="J18">
        <v>0.443</v>
      </c>
      <c r="K18">
        <v>0.439</v>
      </c>
      <c r="L18">
        <v>0.42399999999999999</v>
      </c>
      <c r="M18">
        <v>0.45300000000000001</v>
      </c>
      <c r="N18">
        <v>-0.29699999999999999</v>
      </c>
      <c r="O18">
        <v>-0.30199999999999999</v>
      </c>
      <c r="P18">
        <v>-0.34599999999999997</v>
      </c>
      <c r="Q18">
        <v>-0.38300000000000001</v>
      </c>
      <c r="R18">
        <v>0.95799999999999996</v>
      </c>
      <c r="S18">
        <v>-0.90100000000000002</v>
      </c>
      <c r="T18">
        <v>9.0999999999999998E-2</v>
      </c>
      <c r="U18">
        <v>1.1859999999999999</v>
      </c>
      <c r="V18">
        <v>-0.20399999999999999</v>
      </c>
      <c r="W18">
        <v>0.51100000000000001</v>
      </c>
      <c r="X18">
        <v>0.54600000000000004</v>
      </c>
      <c r="Y18">
        <v>-4.9000000000000002E-2</v>
      </c>
      <c r="Z18">
        <v>3.0000000000000001E-3</v>
      </c>
      <c r="AA18">
        <v>1.157</v>
      </c>
      <c r="AB18">
        <v>1.1519999999999999</v>
      </c>
      <c r="AC18">
        <v>1.147</v>
      </c>
      <c r="AD18">
        <v>1.373</v>
      </c>
      <c r="AE18">
        <v>-0.24299999999999999</v>
      </c>
      <c r="AF18">
        <v>-0.20100000000000001</v>
      </c>
      <c r="AG18">
        <v>-0.20399999999999999</v>
      </c>
      <c r="AH18">
        <v>-0.28599999999999998</v>
      </c>
      <c r="AI18">
        <v>-0.45500000000000002</v>
      </c>
      <c r="AJ18">
        <v>0</v>
      </c>
      <c r="AK18">
        <v>1.143</v>
      </c>
      <c r="AL18">
        <v>1.1459999999999999</v>
      </c>
      <c r="AM18">
        <v>-0.20799999999999999</v>
      </c>
      <c r="AN18">
        <v>-0.31900000000000001</v>
      </c>
      <c r="AO18">
        <v>1.1859999999999999</v>
      </c>
      <c r="AP18">
        <v>-0.20399999999999999</v>
      </c>
    </row>
    <row r="19" spans="1:42" x14ac:dyDescent="0.2">
      <c r="A19" t="s">
        <v>178</v>
      </c>
      <c r="B19">
        <v>0.501</v>
      </c>
      <c r="C19">
        <v>-0.26100000000000001</v>
      </c>
      <c r="D19">
        <v>0.26800000000000002</v>
      </c>
      <c r="E19">
        <v>0.42399999999999999</v>
      </c>
      <c r="F19">
        <v>0.11799999999999999</v>
      </c>
      <c r="G19">
        <v>4.3999999999999997E-2</v>
      </c>
      <c r="H19">
        <v>-2.1000000000000001E-2</v>
      </c>
      <c r="I19">
        <v>-2.5999999999999999E-2</v>
      </c>
      <c r="J19">
        <v>0.48399999999999999</v>
      </c>
      <c r="K19">
        <v>0.48099999999999998</v>
      </c>
      <c r="L19">
        <v>0.46899999999999997</v>
      </c>
      <c r="M19">
        <v>0.505</v>
      </c>
      <c r="N19">
        <v>-0.28799999999999998</v>
      </c>
      <c r="O19">
        <v>-0.29399999999999998</v>
      </c>
      <c r="P19">
        <v>-0.33900000000000002</v>
      </c>
      <c r="Q19">
        <v>-0.376</v>
      </c>
      <c r="R19">
        <v>1.0289999999999999</v>
      </c>
      <c r="S19">
        <v>-0.86599999999999999</v>
      </c>
      <c r="T19">
        <v>0.16</v>
      </c>
      <c r="U19">
        <v>1.272</v>
      </c>
      <c r="V19">
        <v>-0.18</v>
      </c>
      <c r="W19">
        <v>0.56599999999999995</v>
      </c>
      <c r="X19">
        <v>0.60099999999999998</v>
      </c>
      <c r="Y19">
        <v>-4.1000000000000002E-2</v>
      </c>
      <c r="Z19">
        <v>-8.9999999999999993E-3</v>
      </c>
      <c r="AA19">
        <v>1.252</v>
      </c>
      <c r="AB19">
        <v>1.248</v>
      </c>
      <c r="AC19">
        <v>1.2649999999999999</v>
      </c>
      <c r="AD19">
        <v>1.5429999999999999</v>
      </c>
      <c r="AE19">
        <v>-0.22500000000000001</v>
      </c>
      <c r="AF19">
        <v>-0.188</v>
      </c>
      <c r="AG19">
        <v>-0.193</v>
      </c>
      <c r="AH19">
        <v>-0.28699999999999998</v>
      </c>
      <c r="AI19">
        <v>-0.46400000000000002</v>
      </c>
      <c r="AJ19">
        <v>-3.9E-2</v>
      </c>
      <c r="AK19">
        <v>1.244</v>
      </c>
      <c r="AL19">
        <v>1.274</v>
      </c>
      <c r="AM19">
        <v>-0.2</v>
      </c>
      <c r="AN19">
        <v>-0.32800000000000001</v>
      </c>
      <c r="AO19">
        <v>1.272</v>
      </c>
      <c r="AP19">
        <v>-0.18</v>
      </c>
    </row>
    <row r="20" spans="1:42" x14ac:dyDescent="0.2">
      <c r="A20" t="s">
        <v>179</v>
      </c>
      <c r="B20">
        <v>0.54100000000000004</v>
      </c>
      <c r="C20">
        <v>-0.247</v>
      </c>
      <c r="D20">
        <v>0.33700000000000002</v>
      </c>
      <c r="E20">
        <v>0.48899999999999999</v>
      </c>
      <c r="F20">
        <v>0.14599999999999999</v>
      </c>
      <c r="G20">
        <v>9.4E-2</v>
      </c>
      <c r="H20">
        <v>-0.02</v>
      </c>
      <c r="I20">
        <v>-2.8000000000000001E-2</v>
      </c>
      <c r="J20">
        <v>0.52600000000000002</v>
      </c>
      <c r="K20">
        <v>0.52300000000000002</v>
      </c>
      <c r="L20">
        <v>0.51300000000000001</v>
      </c>
      <c r="M20">
        <v>0.55600000000000005</v>
      </c>
      <c r="N20">
        <v>-0.27600000000000002</v>
      </c>
      <c r="O20">
        <v>-0.28199999999999997</v>
      </c>
      <c r="P20">
        <v>-0.33</v>
      </c>
      <c r="Q20">
        <v>-0.36599999999999999</v>
      </c>
      <c r="R20">
        <v>1.097</v>
      </c>
      <c r="S20">
        <v>-0.82599999999999996</v>
      </c>
      <c r="T20">
        <v>0.23</v>
      </c>
      <c r="U20">
        <v>1.355</v>
      </c>
      <c r="V20">
        <v>-0.15</v>
      </c>
      <c r="W20">
        <v>0.623</v>
      </c>
      <c r="X20">
        <v>0.65900000000000003</v>
      </c>
      <c r="Y20">
        <v>-3.1E-2</v>
      </c>
      <c r="Z20">
        <v>-2.1000000000000001E-2</v>
      </c>
      <c r="AA20">
        <v>1.3440000000000001</v>
      </c>
      <c r="AB20">
        <v>1.343</v>
      </c>
      <c r="AC20">
        <v>1.3819999999999999</v>
      </c>
      <c r="AD20">
        <v>1.7150000000000001</v>
      </c>
      <c r="AE20">
        <v>-0.20499999999999999</v>
      </c>
      <c r="AF20">
        <v>-0.16700000000000001</v>
      </c>
      <c r="AG20">
        <v>-0.17399999999999999</v>
      </c>
      <c r="AH20">
        <v>-0.28000000000000003</v>
      </c>
      <c r="AI20">
        <v>-0.46300000000000002</v>
      </c>
      <c r="AJ20">
        <v>-7.6999999999999999E-2</v>
      </c>
      <c r="AK20">
        <v>1.3420000000000001</v>
      </c>
      <c r="AL20">
        <v>1.403</v>
      </c>
      <c r="AM20">
        <v>-0.185</v>
      </c>
      <c r="AN20">
        <v>-0.32700000000000001</v>
      </c>
      <c r="AO20">
        <v>1.355</v>
      </c>
      <c r="AP20">
        <v>-0.15</v>
      </c>
    </row>
    <row r="21" spans="1:42" x14ac:dyDescent="0.2">
      <c r="A21" t="s">
        <v>180</v>
      </c>
      <c r="B21">
        <v>0.57999999999999996</v>
      </c>
      <c r="C21">
        <v>-0.23200000000000001</v>
      </c>
      <c r="D21">
        <v>0.40500000000000003</v>
      </c>
      <c r="E21">
        <v>0.55300000000000005</v>
      </c>
      <c r="F21">
        <v>0.17499999999999999</v>
      </c>
      <c r="G21">
        <v>0.14399999999999999</v>
      </c>
      <c r="H21">
        <v>-0.02</v>
      </c>
      <c r="I21">
        <v>-0.03</v>
      </c>
      <c r="J21">
        <v>0.56599999999999995</v>
      </c>
      <c r="K21">
        <v>0.56299999999999994</v>
      </c>
      <c r="L21">
        <v>0.55600000000000005</v>
      </c>
      <c r="M21">
        <v>0.60699999999999998</v>
      </c>
      <c r="N21">
        <v>-0.26200000000000001</v>
      </c>
      <c r="O21">
        <v>-0.26800000000000002</v>
      </c>
      <c r="P21">
        <v>-0.318</v>
      </c>
      <c r="Q21">
        <v>-0.35199999999999998</v>
      </c>
      <c r="R21">
        <v>1.1639999999999999</v>
      </c>
      <c r="S21">
        <v>-0.78300000000000003</v>
      </c>
      <c r="T21">
        <v>0.30099999999999999</v>
      </c>
      <c r="U21">
        <v>1.4359999999999999</v>
      </c>
      <c r="V21">
        <v>-0.114</v>
      </c>
      <c r="W21">
        <v>0.68100000000000005</v>
      </c>
      <c r="X21">
        <v>0.71799999999999997</v>
      </c>
      <c r="Y21">
        <v>-2.1000000000000001E-2</v>
      </c>
      <c r="Z21">
        <v>-3.2000000000000001E-2</v>
      </c>
      <c r="AA21">
        <v>1.4350000000000001</v>
      </c>
      <c r="AB21">
        <v>1.4359999999999999</v>
      </c>
      <c r="AC21">
        <v>1.4990000000000001</v>
      </c>
      <c r="AD21">
        <v>1.891</v>
      </c>
      <c r="AE21">
        <v>-0.182</v>
      </c>
      <c r="AF21">
        <v>-0.14000000000000001</v>
      </c>
      <c r="AG21">
        <v>-0.14899999999999999</v>
      </c>
      <c r="AH21">
        <v>-0.26500000000000001</v>
      </c>
      <c r="AI21">
        <v>-0.45100000000000001</v>
      </c>
      <c r="AJ21">
        <v>-0.114</v>
      </c>
      <c r="AK21">
        <v>1.44</v>
      </c>
      <c r="AL21">
        <v>1.5329999999999999</v>
      </c>
      <c r="AM21">
        <v>-0.16300000000000001</v>
      </c>
      <c r="AN21">
        <v>-0.318</v>
      </c>
      <c r="AO21">
        <v>1.4359999999999999</v>
      </c>
      <c r="AP21">
        <v>-0.114</v>
      </c>
    </row>
    <row r="22" spans="1:42" x14ac:dyDescent="0.2">
      <c r="A22" t="s">
        <v>181</v>
      </c>
      <c r="B22">
        <v>0.61899999999999999</v>
      </c>
      <c r="C22">
        <v>-0.214</v>
      </c>
      <c r="D22">
        <v>0.47299999999999998</v>
      </c>
      <c r="E22">
        <v>0.61499999999999999</v>
      </c>
      <c r="F22">
        <v>0.20399999999999999</v>
      </c>
      <c r="G22">
        <v>0.19500000000000001</v>
      </c>
      <c r="H22">
        <v>-1.9E-2</v>
      </c>
      <c r="I22">
        <v>-3.2000000000000001E-2</v>
      </c>
      <c r="J22">
        <v>0.60499999999999998</v>
      </c>
      <c r="K22">
        <v>0.60299999999999998</v>
      </c>
      <c r="L22">
        <v>0.59899999999999998</v>
      </c>
      <c r="M22">
        <v>0.65800000000000003</v>
      </c>
      <c r="N22">
        <v>-0.246</v>
      </c>
      <c r="O22">
        <v>-0.252</v>
      </c>
      <c r="P22">
        <v>-0.30299999999999999</v>
      </c>
      <c r="Q22">
        <v>-0.33600000000000002</v>
      </c>
      <c r="R22">
        <v>1.2270000000000001</v>
      </c>
      <c r="S22">
        <v>-0.73599999999999999</v>
      </c>
      <c r="T22">
        <v>0.371</v>
      </c>
      <c r="U22">
        <v>1.514</v>
      </c>
      <c r="V22">
        <v>-7.1999999999999995E-2</v>
      </c>
      <c r="W22">
        <v>0.74099999999999999</v>
      </c>
      <c r="X22">
        <v>0.77900000000000003</v>
      </c>
      <c r="Y22">
        <v>-8.9999999999999993E-3</v>
      </c>
      <c r="Z22">
        <v>-4.2999999999999997E-2</v>
      </c>
      <c r="AA22">
        <v>1.524</v>
      </c>
      <c r="AB22">
        <v>1.528</v>
      </c>
      <c r="AC22">
        <v>1.6160000000000001</v>
      </c>
      <c r="AD22">
        <v>2.0699999999999998</v>
      </c>
      <c r="AE22">
        <v>-0.158</v>
      </c>
      <c r="AF22">
        <v>-0.107</v>
      </c>
      <c r="AG22">
        <v>-0.11700000000000001</v>
      </c>
      <c r="AH22">
        <v>-0.24199999999999999</v>
      </c>
      <c r="AI22">
        <v>-0.42899999999999999</v>
      </c>
      <c r="AJ22">
        <v>-0.14799999999999999</v>
      </c>
      <c r="AK22">
        <v>1.536</v>
      </c>
      <c r="AL22">
        <v>1.6619999999999999</v>
      </c>
      <c r="AM22">
        <v>-0.13500000000000001</v>
      </c>
      <c r="AN22">
        <v>-0.3</v>
      </c>
      <c r="AO22">
        <v>1.514</v>
      </c>
      <c r="AP22">
        <v>-7.1999999999999995E-2</v>
      </c>
    </row>
    <row r="23" spans="1:42" x14ac:dyDescent="0.2">
      <c r="A23" t="s">
        <v>182</v>
      </c>
      <c r="B23">
        <v>0.65600000000000003</v>
      </c>
      <c r="C23">
        <v>-0.19400000000000001</v>
      </c>
      <c r="D23">
        <v>0.53900000000000003</v>
      </c>
      <c r="E23">
        <v>0.67700000000000005</v>
      </c>
      <c r="F23">
        <v>0.23400000000000001</v>
      </c>
      <c r="G23">
        <v>0.247</v>
      </c>
      <c r="H23">
        <v>-1.9E-2</v>
      </c>
      <c r="I23">
        <v>-3.3000000000000002E-2</v>
      </c>
      <c r="J23">
        <v>0.64400000000000002</v>
      </c>
      <c r="K23">
        <v>0.64100000000000001</v>
      </c>
      <c r="L23">
        <v>0.64100000000000001</v>
      </c>
      <c r="M23">
        <v>0.70899999999999996</v>
      </c>
      <c r="N23">
        <v>-0.22700000000000001</v>
      </c>
      <c r="O23">
        <v>-0.23400000000000001</v>
      </c>
      <c r="P23">
        <v>-0.28599999999999998</v>
      </c>
      <c r="Q23">
        <v>-0.317</v>
      </c>
      <c r="R23">
        <v>1.2889999999999999</v>
      </c>
      <c r="S23">
        <v>-0.68500000000000005</v>
      </c>
      <c r="T23">
        <v>0.442</v>
      </c>
      <c r="U23">
        <v>1.589</v>
      </c>
      <c r="V23">
        <v>-2.5999999999999999E-2</v>
      </c>
      <c r="W23">
        <v>0.80200000000000005</v>
      </c>
      <c r="X23">
        <v>0.84199999999999997</v>
      </c>
      <c r="Y23">
        <v>3.0000000000000001E-3</v>
      </c>
      <c r="Z23">
        <v>-5.1999999999999998E-2</v>
      </c>
      <c r="AA23">
        <v>1.6120000000000001</v>
      </c>
      <c r="AB23">
        <v>1.6180000000000001</v>
      </c>
      <c r="AC23">
        <v>1.7330000000000001</v>
      </c>
      <c r="AD23">
        <v>2.2519999999999998</v>
      </c>
      <c r="AE23">
        <v>-0.13200000000000001</v>
      </c>
      <c r="AF23">
        <v>-6.8000000000000005E-2</v>
      </c>
      <c r="AG23">
        <v>-0.08</v>
      </c>
      <c r="AH23">
        <v>-0.21199999999999999</v>
      </c>
      <c r="AI23">
        <v>-0.39600000000000002</v>
      </c>
      <c r="AJ23">
        <v>-0.18</v>
      </c>
      <c r="AK23">
        <v>1.631</v>
      </c>
      <c r="AL23">
        <v>1.7929999999999999</v>
      </c>
      <c r="AM23">
        <v>-0.1</v>
      </c>
      <c r="AN23">
        <v>-0.27300000000000002</v>
      </c>
      <c r="AO23">
        <v>1.589</v>
      </c>
      <c r="AP23">
        <v>-2.5999999999999999E-2</v>
      </c>
    </row>
    <row r="24" spans="1:42" x14ac:dyDescent="0.2">
      <c r="A24" t="s">
        <v>183</v>
      </c>
      <c r="B24">
        <v>0.69299999999999995</v>
      </c>
      <c r="C24">
        <v>-0.17199999999999999</v>
      </c>
      <c r="D24">
        <v>0.60499999999999998</v>
      </c>
      <c r="E24">
        <v>0.73799999999999999</v>
      </c>
      <c r="F24">
        <v>0.26400000000000001</v>
      </c>
      <c r="G24">
        <v>0.29899999999999999</v>
      </c>
      <c r="H24">
        <v>-1.7999999999999999E-2</v>
      </c>
      <c r="I24">
        <v>-3.5000000000000003E-2</v>
      </c>
      <c r="J24">
        <v>0.68100000000000005</v>
      </c>
      <c r="K24">
        <v>0.67900000000000005</v>
      </c>
      <c r="L24">
        <v>0.68200000000000005</v>
      </c>
      <c r="M24">
        <v>0.75900000000000001</v>
      </c>
      <c r="N24">
        <v>-0.20699999999999999</v>
      </c>
      <c r="O24">
        <v>-0.214</v>
      </c>
      <c r="P24">
        <v>-0.26600000000000001</v>
      </c>
      <c r="Q24">
        <v>-0.29399999999999998</v>
      </c>
      <c r="R24">
        <v>1.3480000000000001</v>
      </c>
      <c r="S24">
        <v>-0.63100000000000001</v>
      </c>
      <c r="T24">
        <v>0.51200000000000001</v>
      </c>
      <c r="U24">
        <v>1.6619999999999999</v>
      </c>
      <c r="V24">
        <v>2.5000000000000001E-2</v>
      </c>
      <c r="W24">
        <v>0.86499999999999999</v>
      </c>
      <c r="X24">
        <v>0.90600000000000003</v>
      </c>
      <c r="Y24">
        <v>1.6E-2</v>
      </c>
      <c r="Z24">
        <v>-6.0999999999999999E-2</v>
      </c>
      <c r="AA24">
        <v>1.698</v>
      </c>
      <c r="AB24">
        <v>1.706</v>
      </c>
      <c r="AC24">
        <v>1.85</v>
      </c>
      <c r="AD24">
        <v>2.4289999999999998</v>
      </c>
      <c r="AE24">
        <v>-0.104</v>
      </c>
      <c r="AF24">
        <v>-2.4E-2</v>
      </c>
      <c r="AG24">
        <v>-3.5999999999999997E-2</v>
      </c>
      <c r="AH24">
        <v>-0.17499999999999999</v>
      </c>
      <c r="AI24">
        <v>-0.35</v>
      </c>
      <c r="AJ24">
        <v>-0.21</v>
      </c>
      <c r="AK24">
        <v>1.724</v>
      </c>
      <c r="AL24">
        <v>1.923</v>
      </c>
      <c r="AM24">
        <v>-5.8999999999999997E-2</v>
      </c>
      <c r="AN24">
        <v>-0.23899999999999999</v>
      </c>
      <c r="AO24">
        <v>1.6619999999999999</v>
      </c>
      <c r="AP24">
        <v>2.5000000000000001E-2</v>
      </c>
    </row>
    <row r="25" spans="1:42" x14ac:dyDescent="0.2">
      <c r="A25" t="s">
        <v>184</v>
      </c>
      <c r="B25">
        <v>0.72899999999999998</v>
      </c>
      <c r="C25">
        <v>-0.14799999999999999</v>
      </c>
      <c r="D25">
        <v>0.67</v>
      </c>
      <c r="E25">
        <v>0.79700000000000004</v>
      </c>
      <c r="F25">
        <v>0.29599999999999999</v>
      </c>
      <c r="G25">
        <v>0.35099999999999998</v>
      </c>
      <c r="H25">
        <v>-1.7000000000000001E-2</v>
      </c>
      <c r="I25">
        <v>-3.6999999999999998E-2</v>
      </c>
      <c r="J25">
        <v>0.71799999999999997</v>
      </c>
      <c r="K25">
        <v>0.71699999999999997</v>
      </c>
      <c r="L25">
        <v>0.72299999999999998</v>
      </c>
      <c r="M25">
        <v>0.80800000000000005</v>
      </c>
      <c r="N25">
        <v>-0.184</v>
      </c>
      <c r="O25">
        <v>-0.192</v>
      </c>
      <c r="P25">
        <v>-0.24399999999999999</v>
      </c>
      <c r="Q25">
        <v>-0.26900000000000002</v>
      </c>
      <c r="R25">
        <v>1.4039999999999999</v>
      </c>
      <c r="S25">
        <v>-0.57399999999999995</v>
      </c>
      <c r="T25">
        <v>0.58199999999999996</v>
      </c>
      <c r="U25">
        <v>1.7330000000000001</v>
      </c>
      <c r="V25">
        <v>0.08</v>
      </c>
      <c r="W25">
        <v>0.92900000000000005</v>
      </c>
      <c r="X25">
        <v>0.97099999999999997</v>
      </c>
      <c r="Y25">
        <v>0.03</v>
      </c>
      <c r="Z25">
        <v>-6.9000000000000006E-2</v>
      </c>
      <c r="AA25">
        <v>1.782</v>
      </c>
      <c r="AB25">
        <v>1.7929999999999999</v>
      </c>
      <c r="AC25">
        <v>1.966</v>
      </c>
      <c r="AD25">
        <v>2.601</v>
      </c>
      <c r="AE25">
        <v>-7.3999999999999996E-2</v>
      </c>
      <c r="AF25">
        <v>2.5000000000000001E-2</v>
      </c>
      <c r="AG25">
        <v>1.2E-2</v>
      </c>
      <c r="AH25">
        <v>-0.13</v>
      </c>
      <c r="AI25">
        <v>-0.28999999999999998</v>
      </c>
      <c r="AJ25">
        <v>-0.23799999999999999</v>
      </c>
      <c r="AK25">
        <v>1.8169999999999999</v>
      </c>
      <c r="AL25">
        <v>2.0539999999999998</v>
      </c>
      <c r="AM25">
        <v>-1.2E-2</v>
      </c>
      <c r="AN25">
        <v>-0.19700000000000001</v>
      </c>
      <c r="AO25">
        <v>1.7330000000000001</v>
      </c>
      <c r="AP25">
        <v>0.08</v>
      </c>
    </row>
    <row r="26" spans="1:42" x14ac:dyDescent="0.2">
      <c r="A26" t="s">
        <v>185</v>
      </c>
      <c r="B26">
        <v>0.76400000000000001</v>
      </c>
      <c r="C26">
        <v>-0.123</v>
      </c>
      <c r="D26">
        <v>0.73399999999999999</v>
      </c>
      <c r="E26">
        <v>0.85599999999999998</v>
      </c>
      <c r="F26">
        <v>0.32700000000000001</v>
      </c>
      <c r="G26">
        <v>0.40300000000000002</v>
      </c>
      <c r="H26">
        <v>-1.6E-2</v>
      </c>
      <c r="I26">
        <v>-3.7999999999999999E-2</v>
      </c>
      <c r="J26">
        <v>0.755</v>
      </c>
      <c r="K26">
        <v>0.753</v>
      </c>
      <c r="L26">
        <v>0.76400000000000001</v>
      </c>
      <c r="M26">
        <v>0.85499999999999998</v>
      </c>
      <c r="N26">
        <v>-0.16</v>
      </c>
      <c r="O26">
        <v>-0.16700000000000001</v>
      </c>
      <c r="P26">
        <v>-0.22</v>
      </c>
      <c r="Q26">
        <v>-0.24</v>
      </c>
      <c r="R26">
        <v>1.4570000000000001</v>
      </c>
      <c r="S26">
        <v>-0.51400000000000001</v>
      </c>
      <c r="T26">
        <v>0.65100000000000002</v>
      </c>
      <c r="U26">
        <v>1.802</v>
      </c>
      <c r="V26">
        <v>0.14000000000000001</v>
      </c>
      <c r="W26">
        <v>0.99299999999999999</v>
      </c>
      <c r="X26">
        <v>1.0369999999999999</v>
      </c>
      <c r="Y26">
        <v>4.3999999999999997E-2</v>
      </c>
      <c r="Z26">
        <v>-7.6999999999999999E-2</v>
      </c>
      <c r="AA26">
        <v>1.8640000000000001</v>
      </c>
      <c r="AB26">
        <v>1.8779999999999999</v>
      </c>
      <c r="AC26">
        <v>2.0819999999999999</v>
      </c>
      <c r="AD26">
        <v>2.7669999999999999</v>
      </c>
      <c r="AE26">
        <v>-4.2999999999999997E-2</v>
      </c>
      <c r="AF26">
        <v>7.9000000000000001E-2</v>
      </c>
      <c r="AG26">
        <v>6.5000000000000002E-2</v>
      </c>
      <c r="AH26">
        <v>-7.9000000000000001E-2</v>
      </c>
      <c r="AI26">
        <v>-0.217</v>
      </c>
      <c r="AJ26">
        <v>-0.26400000000000001</v>
      </c>
      <c r="AK26">
        <v>1.9079999999999999</v>
      </c>
      <c r="AL26">
        <v>2.1850000000000001</v>
      </c>
      <c r="AM26">
        <v>0.04</v>
      </c>
      <c r="AN26">
        <v>-0.14699999999999999</v>
      </c>
      <c r="AO26">
        <v>1.802</v>
      </c>
      <c r="AP26">
        <v>0.14000000000000001</v>
      </c>
    </row>
    <row r="27" spans="1:42" x14ac:dyDescent="0.2">
      <c r="A27" t="s">
        <v>186</v>
      </c>
      <c r="B27">
        <v>0.79800000000000004</v>
      </c>
      <c r="C27">
        <v>-9.6000000000000002E-2</v>
      </c>
      <c r="D27">
        <v>0.79600000000000004</v>
      </c>
      <c r="E27">
        <v>0.91300000000000003</v>
      </c>
      <c r="F27">
        <v>0.36</v>
      </c>
      <c r="G27">
        <v>0.45600000000000002</v>
      </c>
      <c r="H27">
        <v>-1.4999999999999999E-2</v>
      </c>
      <c r="I27">
        <v>-0.04</v>
      </c>
      <c r="J27">
        <v>0.79</v>
      </c>
      <c r="K27">
        <v>0.78900000000000003</v>
      </c>
      <c r="L27">
        <v>0.80400000000000005</v>
      </c>
      <c r="M27">
        <v>0.90100000000000002</v>
      </c>
      <c r="N27">
        <v>-0.13400000000000001</v>
      </c>
      <c r="O27">
        <v>-0.14099999999999999</v>
      </c>
      <c r="P27">
        <v>-0.19400000000000001</v>
      </c>
      <c r="Q27">
        <v>-0.20899999999999999</v>
      </c>
      <c r="R27">
        <v>1.508</v>
      </c>
      <c r="S27">
        <v>-0.45</v>
      </c>
      <c r="T27">
        <v>0.72099999999999997</v>
      </c>
      <c r="U27">
        <v>1.869</v>
      </c>
      <c r="V27">
        <v>0.20200000000000001</v>
      </c>
      <c r="W27">
        <v>1.0580000000000001</v>
      </c>
      <c r="X27">
        <v>1.1040000000000001</v>
      </c>
      <c r="Y27">
        <v>5.8999999999999997E-2</v>
      </c>
      <c r="Z27">
        <v>-8.3000000000000004E-2</v>
      </c>
      <c r="AA27">
        <v>1.9450000000000001</v>
      </c>
      <c r="AB27">
        <v>1.962</v>
      </c>
      <c r="AC27">
        <v>2.1970000000000001</v>
      </c>
      <c r="AD27">
        <v>2.927</v>
      </c>
      <c r="AE27">
        <v>-0.01</v>
      </c>
      <c r="AF27">
        <v>0.13800000000000001</v>
      </c>
      <c r="AG27">
        <v>0.123</v>
      </c>
      <c r="AH27">
        <v>-2.1999999999999999E-2</v>
      </c>
      <c r="AI27">
        <v>-0.13200000000000001</v>
      </c>
      <c r="AJ27">
        <v>-0.28699999999999998</v>
      </c>
      <c r="AK27">
        <v>1.9970000000000001</v>
      </c>
      <c r="AL27">
        <v>2.3159999999999998</v>
      </c>
      <c r="AM27">
        <v>9.7000000000000003E-2</v>
      </c>
      <c r="AN27">
        <v>-0.09</v>
      </c>
      <c r="AO27">
        <v>1.869</v>
      </c>
      <c r="AP27">
        <v>0.20200000000000001</v>
      </c>
    </row>
    <row r="28" spans="1:42" x14ac:dyDescent="0.2">
      <c r="A28" t="s">
        <v>187</v>
      </c>
      <c r="B28">
        <v>0.83199999999999996</v>
      </c>
      <c r="C28">
        <v>-6.7000000000000004E-2</v>
      </c>
      <c r="D28">
        <v>0.85799999999999998</v>
      </c>
      <c r="E28">
        <v>0.97</v>
      </c>
      <c r="F28">
        <v>0.39200000000000002</v>
      </c>
      <c r="G28">
        <v>0.50800000000000001</v>
      </c>
      <c r="H28">
        <v>-1.4E-2</v>
      </c>
      <c r="I28">
        <v>-4.1000000000000002E-2</v>
      </c>
      <c r="J28">
        <v>0.82499999999999996</v>
      </c>
      <c r="K28">
        <v>0.82499999999999996</v>
      </c>
      <c r="L28">
        <v>0.84299999999999997</v>
      </c>
      <c r="M28">
        <v>0.94599999999999995</v>
      </c>
      <c r="N28">
        <v>-0.105</v>
      </c>
      <c r="O28">
        <v>-0.113</v>
      </c>
      <c r="P28">
        <v>-0.16600000000000001</v>
      </c>
      <c r="Q28">
        <v>-0.17599999999999999</v>
      </c>
      <c r="R28">
        <v>1.5549999999999999</v>
      </c>
      <c r="S28">
        <v>-0.38300000000000001</v>
      </c>
      <c r="T28">
        <v>0.78900000000000003</v>
      </c>
      <c r="U28">
        <v>1.9330000000000001</v>
      </c>
      <c r="V28">
        <v>0.26800000000000002</v>
      </c>
      <c r="W28">
        <v>1.125</v>
      </c>
      <c r="X28">
        <v>1.171</v>
      </c>
      <c r="Y28">
        <v>7.4999999999999997E-2</v>
      </c>
      <c r="Z28">
        <v>-8.8999999999999996E-2</v>
      </c>
      <c r="AA28">
        <v>2.0249999999999999</v>
      </c>
      <c r="AB28">
        <v>2.0449999999999999</v>
      </c>
      <c r="AC28">
        <v>2.3130000000000002</v>
      </c>
      <c r="AD28">
        <v>3.0819999999999999</v>
      </c>
      <c r="AE28">
        <v>2.4E-2</v>
      </c>
      <c r="AF28">
        <v>0.20100000000000001</v>
      </c>
      <c r="AG28">
        <v>0.186</v>
      </c>
      <c r="AH28">
        <v>4.1000000000000002E-2</v>
      </c>
      <c r="AI28">
        <v>-3.5999999999999997E-2</v>
      </c>
      <c r="AJ28">
        <v>-0.307</v>
      </c>
      <c r="AK28">
        <v>2.0859999999999999</v>
      </c>
      <c r="AL28">
        <v>2.4470000000000001</v>
      </c>
      <c r="AM28">
        <v>0.158</v>
      </c>
      <c r="AN28">
        <v>-2.5999999999999999E-2</v>
      </c>
      <c r="AO28">
        <v>1.9330000000000001</v>
      </c>
      <c r="AP28">
        <v>0.26800000000000002</v>
      </c>
    </row>
    <row r="29" spans="1:42" x14ac:dyDescent="0.2">
      <c r="A29" t="s">
        <v>188</v>
      </c>
      <c r="B29">
        <v>0.86499999999999999</v>
      </c>
      <c r="C29">
        <v>-3.5999999999999997E-2</v>
      </c>
      <c r="D29">
        <v>0.91800000000000004</v>
      </c>
      <c r="E29">
        <v>1.0249999999999999</v>
      </c>
      <c r="F29">
        <v>0.42499999999999999</v>
      </c>
      <c r="G29">
        <v>0.56100000000000005</v>
      </c>
      <c r="H29">
        <v>-1.2999999999999999E-2</v>
      </c>
      <c r="I29">
        <v>-4.2999999999999997E-2</v>
      </c>
      <c r="J29">
        <v>0.86</v>
      </c>
      <c r="K29">
        <v>0.85899999999999999</v>
      </c>
      <c r="L29">
        <v>0.88200000000000001</v>
      </c>
      <c r="M29">
        <v>0.99</v>
      </c>
      <c r="N29">
        <v>-7.5999999999999998E-2</v>
      </c>
      <c r="O29">
        <v>-8.4000000000000005E-2</v>
      </c>
      <c r="P29">
        <v>-0.13600000000000001</v>
      </c>
      <c r="Q29">
        <v>-0.13900000000000001</v>
      </c>
      <c r="R29">
        <v>1.599</v>
      </c>
      <c r="S29">
        <v>-0.313</v>
      </c>
      <c r="T29">
        <v>0.85799999999999998</v>
      </c>
      <c r="U29">
        <v>1.996</v>
      </c>
      <c r="V29">
        <v>0.33700000000000002</v>
      </c>
      <c r="W29">
        <v>1.1910000000000001</v>
      </c>
      <c r="X29">
        <v>1.24</v>
      </c>
      <c r="Y29">
        <v>9.0999999999999998E-2</v>
      </c>
      <c r="Z29">
        <v>-9.2999999999999999E-2</v>
      </c>
      <c r="AA29">
        <v>2.1030000000000002</v>
      </c>
      <c r="AB29">
        <v>2.1259999999999999</v>
      </c>
      <c r="AC29">
        <v>2.4279999999999999</v>
      </c>
      <c r="AD29">
        <v>3.2320000000000002</v>
      </c>
      <c r="AE29">
        <v>5.8999999999999997E-2</v>
      </c>
      <c r="AF29">
        <v>0.26800000000000002</v>
      </c>
      <c r="AG29">
        <v>0.252</v>
      </c>
      <c r="AH29">
        <v>0.111</v>
      </c>
      <c r="AI29">
        <v>7.0000000000000007E-2</v>
      </c>
      <c r="AJ29">
        <v>-0.32500000000000001</v>
      </c>
      <c r="AK29">
        <v>2.1739999999999999</v>
      </c>
      <c r="AL29">
        <v>2.5790000000000002</v>
      </c>
      <c r="AM29">
        <v>0.224</v>
      </c>
      <c r="AN29">
        <v>4.3999999999999997E-2</v>
      </c>
      <c r="AO29">
        <v>1.996</v>
      </c>
      <c r="AP29">
        <v>0.33700000000000002</v>
      </c>
    </row>
    <row r="30" spans="1:42" x14ac:dyDescent="0.2">
      <c r="A30" t="s">
        <v>189</v>
      </c>
      <c r="B30">
        <v>0.89700000000000002</v>
      </c>
      <c r="C30">
        <v>-5.0000000000000001E-3</v>
      </c>
      <c r="D30">
        <v>0.97799999999999998</v>
      </c>
      <c r="E30">
        <v>1.079</v>
      </c>
      <c r="F30">
        <v>0.45900000000000002</v>
      </c>
      <c r="G30">
        <v>0.61299999999999999</v>
      </c>
      <c r="H30">
        <v>-1.2E-2</v>
      </c>
      <c r="I30">
        <v>-4.3999999999999997E-2</v>
      </c>
      <c r="J30">
        <v>0.89400000000000002</v>
      </c>
      <c r="K30">
        <v>0.89300000000000002</v>
      </c>
      <c r="L30">
        <v>0.92100000000000004</v>
      </c>
      <c r="M30">
        <v>1.0329999999999999</v>
      </c>
      <c r="N30">
        <v>-4.4999999999999998E-2</v>
      </c>
      <c r="O30">
        <v>-5.1999999999999998E-2</v>
      </c>
      <c r="P30">
        <v>-0.104</v>
      </c>
      <c r="Q30">
        <v>-0.10100000000000001</v>
      </c>
      <c r="R30">
        <v>1.6379999999999999</v>
      </c>
      <c r="S30">
        <v>-0.23899999999999999</v>
      </c>
      <c r="T30">
        <v>0.92600000000000005</v>
      </c>
      <c r="U30">
        <v>2.0569999999999999</v>
      </c>
      <c r="V30">
        <v>0.40899999999999997</v>
      </c>
      <c r="W30">
        <v>1.258</v>
      </c>
      <c r="X30">
        <v>1.3089999999999999</v>
      </c>
      <c r="Y30">
        <v>0.109</v>
      </c>
      <c r="Z30">
        <v>-9.7000000000000003E-2</v>
      </c>
      <c r="AA30">
        <v>2.1800000000000002</v>
      </c>
      <c r="AB30">
        <v>2.206</v>
      </c>
      <c r="AC30">
        <v>2.544</v>
      </c>
      <c r="AD30">
        <v>3.3759999999999999</v>
      </c>
      <c r="AE30">
        <v>9.5000000000000001E-2</v>
      </c>
      <c r="AF30">
        <v>0.33800000000000002</v>
      </c>
      <c r="AG30">
        <v>0.32300000000000001</v>
      </c>
      <c r="AH30">
        <v>0.185</v>
      </c>
      <c r="AI30">
        <v>0.186</v>
      </c>
      <c r="AJ30">
        <v>-0.34</v>
      </c>
      <c r="AK30">
        <v>2.2599999999999998</v>
      </c>
      <c r="AL30">
        <v>2.7109999999999999</v>
      </c>
      <c r="AM30">
        <v>0.29499999999999998</v>
      </c>
      <c r="AN30">
        <v>0.122</v>
      </c>
      <c r="AO30">
        <v>2.0569999999999999</v>
      </c>
      <c r="AP30">
        <v>0.40899999999999997</v>
      </c>
    </row>
    <row r="31" spans="1:42" x14ac:dyDescent="0.2">
      <c r="A31" t="s">
        <v>190</v>
      </c>
      <c r="B31">
        <v>0.92800000000000005</v>
      </c>
      <c r="C31">
        <v>2.9000000000000001E-2</v>
      </c>
      <c r="D31">
        <v>1.036</v>
      </c>
      <c r="E31">
        <v>1.1319999999999999</v>
      </c>
      <c r="F31">
        <v>0.49299999999999999</v>
      </c>
      <c r="G31">
        <v>0.66600000000000004</v>
      </c>
      <c r="H31">
        <v>-1.0999999999999999E-2</v>
      </c>
      <c r="I31">
        <v>-4.4999999999999998E-2</v>
      </c>
      <c r="J31">
        <v>0.92700000000000005</v>
      </c>
      <c r="K31">
        <v>0.92700000000000005</v>
      </c>
      <c r="L31">
        <v>0.96</v>
      </c>
      <c r="M31">
        <v>1.0760000000000001</v>
      </c>
      <c r="N31">
        <v>-1.2E-2</v>
      </c>
      <c r="O31">
        <v>-0.02</v>
      </c>
      <c r="P31">
        <v>-7.0000000000000007E-2</v>
      </c>
      <c r="Q31">
        <v>-0.06</v>
      </c>
      <c r="R31">
        <v>1.675</v>
      </c>
      <c r="S31">
        <v>-0.16300000000000001</v>
      </c>
      <c r="T31">
        <v>0.99399999999999999</v>
      </c>
      <c r="U31">
        <v>2.1150000000000002</v>
      </c>
      <c r="V31">
        <v>0.48299999999999998</v>
      </c>
      <c r="W31">
        <v>1.3260000000000001</v>
      </c>
      <c r="X31">
        <v>1.379</v>
      </c>
      <c r="Y31">
        <v>0.126</v>
      </c>
      <c r="Z31">
        <v>-9.9000000000000005E-2</v>
      </c>
      <c r="AA31">
        <v>2.2549999999999999</v>
      </c>
      <c r="AB31">
        <v>2.2850000000000001</v>
      </c>
      <c r="AC31">
        <v>2.6589999999999998</v>
      </c>
      <c r="AD31">
        <v>3.516</v>
      </c>
      <c r="AE31">
        <v>0.13200000000000001</v>
      </c>
      <c r="AF31">
        <v>0.41199999999999998</v>
      </c>
      <c r="AG31">
        <v>0.39700000000000002</v>
      </c>
      <c r="AH31">
        <v>0.26600000000000001</v>
      </c>
      <c r="AI31">
        <v>0.31</v>
      </c>
      <c r="AJ31">
        <v>-0.35299999999999998</v>
      </c>
      <c r="AK31">
        <v>2.3460000000000001</v>
      </c>
      <c r="AL31">
        <v>2.8439999999999999</v>
      </c>
      <c r="AM31">
        <v>0.36899999999999999</v>
      </c>
      <c r="AN31">
        <v>0.20499999999999999</v>
      </c>
      <c r="AO31">
        <v>2.1150000000000002</v>
      </c>
      <c r="AP31">
        <v>0.48299999999999998</v>
      </c>
    </row>
    <row r="32" spans="1:42" x14ac:dyDescent="0.2">
      <c r="A32" t="s">
        <v>191</v>
      </c>
      <c r="B32">
        <v>0.95899999999999996</v>
      </c>
      <c r="C32">
        <v>6.3E-2</v>
      </c>
      <c r="D32">
        <v>1.093</v>
      </c>
      <c r="E32">
        <v>1.1850000000000001</v>
      </c>
      <c r="F32">
        <v>0.52800000000000002</v>
      </c>
      <c r="G32">
        <v>0.71899999999999997</v>
      </c>
      <c r="H32">
        <v>-8.9999999999999993E-3</v>
      </c>
      <c r="I32">
        <v>-4.5999999999999999E-2</v>
      </c>
      <c r="J32">
        <v>0.95899999999999996</v>
      </c>
      <c r="K32">
        <v>0.96</v>
      </c>
      <c r="L32">
        <v>0.998</v>
      </c>
      <c r="M32">
        <v>1.117</v>
      </c>
      <c r="N32">
        <v>2.3E-2</v>
      </c>
      <c r="O32">
        <v>1.4999999999999999E-2</v>
      </c>
      <c r="P32">
        <v>-3.4000000000000002E-2</v>
      </c>
      <c r="Q32">
        <v>-1.7999999999999999E-2</v>
      </c>
      <c r="R32">
        <v>1.708</v>
      </c>
      <c r="S32">
        <v>-8.4000000000000005E-2</v>
      </c>
      <c r="T32">
        <v>1.0609999999999999</v>
      </c>
      <c r="U32">
        <v>2.1720000000000002</v>
      </c>
      <c r="V32">
        <v>0.55900000000000005</v>
      </c>
      <c r="W32">
        <v>1.3939999999999999</v>
      </c>
      <c r="X32">
        <v>1.4490000000000001</v>
      </c>
      <c r="Y32">
        <v>0.14499999999999999</v>
      </c>
      <c r="Z32">
        <v>-0.10100000000000001</v>
      </c>
      <c r="AA32">
        <v>2.3290000000000002</v>
      </c>
      <c r="AB32">
        <v>2.363</v>
      </c>
      <c r="AC32">
        <v>2.774</v>
      </c>
      <c r="AD32">
        <v>3.6509999999999998</v>
      </c>
      <c r="AE32">
        <v>0.17</v>
      </c>
      <c r="AF32">
        <v>0.48899999999999999</v>
      </c>
      <c r="AG32">
        <v>0.47399999999999998</v>
      </c>
      <c r="AH32">
        <v>0.35099999999999998</v>
      </c>
      <c r="AI32">
        <v>0.442</v>
      </c>
      <c r="AJ32">
        <v>-0.36299999999999999</v>
      </c>
      <c r="AK32">
        <v>2.4300000000000002</v>
      </c>
      <c r="AL32">
        <v>2.9769999999999999</v>
      </c>
      <c r="AM32">
        <v>0.44700000000000001</v>
      </c>
      <c r="AN32">
        <v>0.29499999999999998</v>
      </c>
      <c r="AO32">
        <v>2.1720000000000002</v>
      </c>
      <c r="AP32">
        <v>0.55900000000000005</v>
      </c>
    </row>
    <row r="33" spans="1:42" x14ac:dyDescent="0.2">
      <c r="A33" t="s">
        <v>192</v>
      </c>
      <c r="B33">
        <v>0.99</v>
      </c>
      <c r="C33">
        <v>9.9000000000000005E-2</v>
      </c>
      <c r="D33">
        <v>1.149</v>
      </c>
      <c r="E33">
        <v>1.236</v>
      </c>
      <c r="F33">
        <v>0.56200000000000006</v>
      </c>
      <c r="G33">
        <v>0.77100000000000002</v>
      </c>
      <c r="H33">
        <v>-8.0000000000000002E-3</v>
      </c>
      <c r="I33">
        <v>-4.7E-2</v>
      </c>
      <c r="J33">
        <v>0.99099999999999999</v>
      </c>
      <c r="K33">
        <v>0.99199999999999999</v>
      </c>
      <c r="L33">
        <v>1.0349999999999999</v>
      </c>
      <c r="M33">
        <v>1.157</v>
      </c>
      <c r="N33">
        <v>5.8000000000000003E-2</v>
      </c>
      <c r="O33">
        <v>0.05</v>
      </c>
      <c r="P33">
        <v>3.0000000000000001E-3</v>
      </c>
      <c r="Q33">
        <v>2.7E-2</v>
      </c>
      <c r="R33">
        <v>1.7370000000000001</v>
      </c>
      <c r="S33">
        <v>-1E-3</v>
      </c>
      <c r="T33">
        <v>1.127</v>
      </c>
      <c r="U33">
        <v>2.2280000000000002</v>
      </c>
      <c r="V33">
        <v>0.63700000000000001</v>
      </c>
      <c r="W33">
        <v>1.462</v>
      </c>
      <c r="X33">
        <v>1.52</v>
      </c>
      <c r="Y33">
        <v>0.16400000000000001</v>
      </c>
      <c r="Z33">
        <v>-0.10100000000000001</v>
      </c>
      <c r="AA33">
        <v>2.4020000000000001</v>
      </c>
      <c r="AB33">
        <v>2.4390000000000001</v>
      </c>
      <c r="AC33">
        <v>2.8889999999999998</v>
      </c>
      <c r="AD33">
        <v>3.7810000000000001</v>
      </c>
      <c r="AE33">
        <v>0.20899999999999999</v>
      </c>
      <c r="AF33">
        <v>0.56899999999999995</v>
      </c>
      <c r="AG33">
        <v>0.55500000000000005</v>
      </c>
      <c r="AH33">
        <v>0.441</v>
      </c>
      <c r="AI33">
        <v>0.58099999999999996</v>
      </c>
      <c r="AJ33">
        <v>-0.37</v>
      </c>
      <c r="AK33">
        <v>2.5129999999999999</v>
      </c>
      <c r="AL33">
        <v>3.11</v>
      </c>
      <c r="AM33">
        <v>0.52900000000000003</v>
      </c>
      <c r="AN33">
        <v>0.39</v>
      </c>
      <c r="AO33">
        <v>2.2280000000000002</v>
      </c>
      <c r="AP33">
        <v>0.63700000000000001</v>
      </c>
    </row>
    <row r="34" spans="1:42" x14ac:dyDescent="0.2">
      <c r="A34" t="s">
        <v>193</v>
      </c>
      <c r="B34">
        <v>1.0189999999999999</v>
      </c>
      <c r="C34">
        <v>0.13600000000000001</v>
      </c>
      <c r="D34">
        <v>1.2030000000000001</v>
      </c>
      <c r="E34">
        <v>1.286</v>
      </c>
      <c r="F34">
        <v>0.59699999999999998</v>
      </c>
      <c r="G34">
        <v>0.82399999999999995</v>
      </c>
      <c r="H34">
        <v>-6.0000000000000001E-3</v>
      </c>
      <c r="I34">
        <v>-4.8000000000000001E-2</v>
      </c>
      <c r="J34">
        <v>1.0229999999999999</v>
      </c>
      <c r="K34">
        <v>1.024</v>
      </c>
      <c r="L34">
        <v>1.073</v>
      </c>
      <c r="M34">
        <v>1.196</v>
      </c>
      <c r="N34">
        <v>9.5000000000000001E-2</v>
      </c>
      <c r="O34">
        <v>8.6999999999999994E-2</v>
      </c>
      <c r="P34">
        <v>4.2000000000000003E-2</v>
      </c>
      <c r="Q34">
        <v>7.3999999999999996E-2</v>
      </c>
      <c r="R34">
        <v>1.762</v>
      </c>
      <c r="S34">
        <v>8.5000000000000006E-2</v>
      </c>
      <c r="T34">
        <v>1.194</v>
      </c>
      <c r="U34">
        <v>2.2810000000000001</v>
      </c>
      <c r="V34">
        <v>0.71699999999999997</v>
      </c>
      <c r="W34">
        <v>1.53</v>
      </c>
      <c r="X34">
        <v>1.591</v>
      </c>
      <c r="Y34">
        <v>0.183</v>
      </c>
      <c r="Z34">
        <v>-0.10100000000000001</v>
      </c>
      <c r="AA34">
        <v>2.4740000000000002</v>
      </c>
      <c r="AB34">
        <v>2.5139999999999998</v>
      </c>
      <c r="AC34">
        <v>3.004</v>
      </c>
      <c r="AD34">
        <v>3.907</v>
      </c>
      <c r="AE34">
        <v>0.248</v>
      </c>
      <c r="AF34">
        <v>0.65100000000000002</v>
      </c>
      <c r="AG34">
        <v>0.63800000000000001</v>
      </c>
      <c r="AH34">
        <v>0.53600000000000003</v>
      </c>
      <c r="AI34">
        <v>0.72699999999999998</v>
      </c>
      <c r="AJ34">
        <v>-0.375</v>
      </c>
      <c r="AK34">
        <v>2.5950000000000002</v>
      </c>
      <c r="AL34">
        <v>3.2440000000000002</v>
      </c>
      <c r="AM34">
        <v>0.61399999999999999</v>
      </c>
      <c r="AN34">
        <v>0.49099999999999999</v>
      </c>
      <c r="AO34">
        <v>2.2810000000000001</v>
      </c>
      <c r="AP34">
        <v>0.71699999999999997</v>
      </c>
    </row>
    <row r="35" spans="1:42" x14ac:dyDescent="0.2">
      <c r="A35" t="s">
        <v>194</v>
      </c>
      <c r="B35">
        <v>1.048</v>
      </c>
      <c r="C35">
        <v>0.17399999999999999</v>
      </c>
      <c r="D35">
        <v>1.2569999999999999</v>
      </c>
      <c r="E35">
        <v>1.335</v>
      </c>
      <c r="F35">
        <v>0.63300000000000001</v>
      </c>
      <c r="G35">
        <v>0.876</v>
      </c>
      <c r="H35">
        <v>-5.0000000000000001E-3</v>
      </c>
      <c r="I35">
        <v>-4.8000000000000001E-2</v>
      </c>
      <c r="J35">
        <v>1.054</v>
      </c>
      <c r="K35">
        <v>1.0549999999999999</v>
      </c>
      <c r="L35">
        <v>1.1100000000000001</v>
      </c>
      <c r="M35">
        <v>1.2350000000000001</v>
      </c>
      <c r="N35">
        <v>0.13300000000000001</v>
      </c>
      <c r="O35">
        <v>0.125</v>
      </c>
      <c r="P35">
        <v>8.3000000000000004E-2</v>
      </c>
      <c r="Q35">
        <v>0.122</v>
      </c>
      <c r="R35">
        <v>1.7809999999999999</v>
      </c>
      <c r="S35">
        <v>0.17499999999999999</v>
      </c>
      <c r="T35">
        <v>1.26</v>
      </c>
      <c r="U35">
        <v>2.3330000000000002</v>
      </c>
      <c r="V35">
        <v>0.79900000000000004</v>
      </c>
      <c r="W35">
        <v>1.599</v>
      </c>
      <c r="X35">
        <v>1.6619999999999999</v>
      </c>
      <c r="Y35">
        <v>0.20300000000000001</v>
      </c>
      <c r="Z35">
        <v>-9.9000000000000005E-2</v>
      </c>
      <c r="AA35">
        <v>2.544</v>
      </c>
      <c r="AB35">
        <v>2.5880000000000001</v>
      </c>
      <c r="AC35">
        <v>3.12</v>
      </c>
      <c r="AD35">
        <v>4.0289999999999999</v>
      </c>
      <c r="AE35">
        <v>0.28799999999999998</v>
      </c>
      <c r="AF35">
        <v>0.73699999999999999</v>
      </c>
      <c r="AG35">
        <v>0.72399999999999998</v>
      </c>
      <c r="AH35">
        <v>0.63500000000000001</v>
      </c>
      <c r="AI35">
        <v>0.878</v>
      </c>
      <c r="AJ35">
        <v>-0.377</v>
      </c>
      <c r="AK35">
        <v>2.677</v>
      </c>
      <c r="AL35">
        <v>3.3780000000000001</v>
      </c>
      <c r="AM35">
        <v>0.70199999999999996</v>
      </c>
      <c r="AN35">
        <v>0.59699999999999998</v>
      </c>
      <c r="AO35">
        <v>2.3330000000000002</v>
      </c>
      <c r="AP35">
        <v>0.79900000000000004</v>
      </c>
    </row>
    <row r="36" spans="1:42" x14ac:dyDescent="0.2">
      <c r="A36" t="s">
        <v>195</v>
      </c>
      <c r="B36">
        <v>1.077</v>
      </c>
      <c r="C36">
        <v>0.21299999999999999</v>
      </c>
      <c r="D36">
        <v>1.31</v>
      </c>
      <c r="E36">
        <v>1.383</v>
      </c>
      <c r="F36">
        <v>0.66800000000000004</v>
      </c>
      <c r="G36">
        <v>0.92800000000000005</v>
      </c>
      <c r="H36">
        <v>-3.0000000000000001E-3</v>
      </c>
      <c r="I36">
        <v>-4.9000000000000002E-2</v>
      </c>
      <c r="J36">
        <v>1.0840000000000001</v>
      </c>
      <c r="K36">
        <v>1.0860000000000001</v>
      </c>
      <c r="L36">
        <v>1.1459999999999999</v>
      </c>
      <c r="M36">
        <v>1.2729999999999999</v>
      </c>
      <c r="N36">
        <v>0.17299999999999999</v>
      </c>
      <c r="O36">
        <v>0.16500000000000001</v>
      </c>
      <c r="P36">
        <v>0.125</v>
      </c>
      <c r="Q36">
        <v>0.17199999999999999</v>
      </c>
      <c r="R36">
        <v>1.7969999999999999</v>
      </c>
      <c r="S36">
        <v>0.26800000000000002</v>
      </c>
      <c r="T36">
        <v>1.325</v>
      </c>
      <c r="U36">
        <v>2.383</v>
      </c>
      <c r="V36">
        <v>0.88200000000000001</v>
      </c>
      <c r="W36">
        <v>1.667</v>
      </c>
      <c r="X36">
        <v>1.7330000000000001</v>
      </c>
      <c r="Y36">
        <v>0.224</v>
      </c>
      <c r="Z36">
        <v>-9.7000000000000003E-2</v>
      </c>
      <c r="AA36">
        <v>2.613</v>
      </c>
      <c r="AB36">
        <v>2.661</v>
      </c>
      <c r="AC36">
        <v>3.2349999999999999</v>
      </c>
      <c r="AD36">
        <v>4.1470000000000002</v>
      </c>
      <c r="AE36">
        <v>0.32800000000000001</v>
      </c>
      <c r="AF36">
        <v>0.82399999999999995</v>
      </c>
      <c r="AG36">
        <v>0.81299999999999994</v>
      </c>
      <c r="AH36">
        <v>0.73799999999999999</v>
      </c>
      <c r="AI36">
        <v>1.034</v>
      </c>
      <c r="AJ36">
        <v>-0.377</v>
      </c>
      <c r="AK36">
        <v>2.7570000000000001</v>
      </c>
      <c r="AL36">
        <v>3.5129999999999999</v>
      </c>
      <c r="AM36">
        <v>0.79200000000000004</v>
      </c>
      <c r="AN36">
        <v>0.70899999999999996</v>
      </c>
      <c r="AO36">
        <v>2.383</v>
      </c>
      <c r="AP36">
        <v>0.88200000000000001</v>
      </c>
    </row>
    <row r="37" spans="1:42" x14ac:dyDescent="0.2">
      <c r="A37" t="s">
        <v>196</v>
      </c>
      <c r="B37">
        <v>1.105</v>
      </c>
      <c r="C37">
        <v>0.253</v>
      </c>
      <c r="D37">
        <v>1.361</v>
      </c>
      <c r="E37">
        <v>1.43</v>
      </c>
      <c r="F37">
        <v>0.70399999999999996</v>
      </c>
      <c r="G37">
        <v>0.98</v>
      </c>
      <c r="H37">
        <v>-1E-3</v>
      </c>
      <c r="I37">
        <v>-4.9000000000000002E-2</v>
      </c>
      <c r="J37">
        <v>1.1140000000000001</v>
      </c>
      <c r="K37">
        <v>1.117</v>
      </c>
      <c r="L37">
        <v>1.1830000000000001</v>
      </c>
      <c r="M37">
        <v>1.31</v>
      </c>
      <c r="N37">
        <v>0.21299999999999999</v>
      </c>
      <c r="O37">
        <v>0.20499999999999999</v>
      </c>
      <c r="P37">
        <v>0.16900000000000001</v>
      </c>
      <c r="Q37">
        <v>0.224</v>
      </c>
      <c r="R37">
        <v>1.806</v>
      </c>
      <c r="S37">
        <v>0.36599999999999999</v>
      </c>
      <c r="T37">
        <v>1.39</v>
      </c>
      <c r="U37">
        <v>2.4319999999999999</v>
      </c>
      <c r="V37">
        <v>0.96599999999999997</v>
      </c>
      <c r="W37">
        <v>1.7350000000000001</v>
      </c>
      <c r="X37">
        <v>1.8049999999999999</v>
      </c>
      <c r="Y37">
        <v>0.245</v>
      </c>
      <c r="Z37">
        <v>-9.2999999999999999E-2</v>
      </c>
      <c r="AA37">
        <v>2.681</v>
      </c>
      <c r="AB37">
        <v>2.7330000000000001</v>
      </c>
      <c r="AC37">
        <v>3.351</v>
      </c>
      <c r="AD37">
        <v>4.2610000000000001</v>
      </c>
      <c r="AE37">
        <v>0.36899999999999999</v>
      </c>
      <c r="AF37">
        <v>0.91400000000000003</v>
      </c>
      <c r="AG37">
        <v>0.90400000000000003</v>
      </c>
      <c r="AH37">
        <v>0.84599999999999997</v>
      </c>
      <c r="AI37">
        <v>1.1950000000000001</v>
      </c>
      <c r="AJ37">
        <v>-0.374</v>
      </c>
      <c r="AK37">
        <v>2.8359999999999999</v>
      </c>
      <c r="AL37">
        <v>3.649</v>
      </c>
      <c r="AM37">
        <v>0.88600000000000001</v>
      </c>
      <c r="AN37">
        <v>0.82499999999999996</v>
      </c>
      <c r="AO37">
        <v>2.4319999999999999</v>
      </c>
      <c r="AP37">
        <v>0.96599999999999997</v>
      </c>
    </row>
    <row r="38" spans="1:42" x14ac:dyDescent="0.2">
      <c r="A38" t="s">
        <v>197</v>
      </c>
      <c r="B38">
        <v>1.1319999999999999</v>
      </c>
      <c r="C38">
        <v>0.29499999999999998</v>
      </c>
      <c r="D38">
        <v>1.4119999999999999</v>
      </c>
      <c r="E38">
        <v>1.4770000000000001</v>
      </c>
      <c r="F38">
        <v>0.74</v>
      </c>
      <c r="G38">
        <v>1.032</v>
      </c>
      <c r="H38">
        <v>1E-3</v>
      </c>
      <c r="I38">
        <v>-4.9000000000000002E-2</v>
      </c>
      <c r="J38">
        <v>1.1439999999999999</v>
      </c>
      <c r="K38">
        <v>1.147</v>
      </c>
      <c r="L38">
        <v>1.2190000000000001</v>
      </c>
      <c r="M38">
        <v>1.3460000000000001</v>
      </c>
      <c r="N38">
        <v>0.255</v>
      </c>
      <c r="O38">
        <v>0.247</v>
      </c>
      <c r="P38">
        <v>0.214</v>
      </c>
      <c r="Q38">
        <v>0.27700000000000002</v>
      </c>
      <c r="R38">
        <v>1.8109999999999999</v>
      </c>
      <c r="S38">
        <v>0.46700000000000003</v>
      </c>
      <c r="T38">
        <v>1.4550000000000001</v>
      </c>
      <c r="U38">
        <v>2.4790000000000001</v>
      </c>
      <c r="V38">
        <v>1.0509999999999999</v>
      </c>
      <c r="W38">
        <v>1.8029999999999999</v>
      </c>
      <c r="X38">
        <v>1.877</v>
      </c>
      <c r="Y38">
        <v>0.26600000000000001</v>
      </c>
      <c r="Z38">
        <v>-8.7999999999999995E-2</v>
      </c>
      <c r="AA38">
        <v>2.7480000000000002</v>
      </c>
      <c r="AB38">
        <v>2.8039999999999998</v>
      </c>
      <c r="AC38">
        <v>3.4670000000000001</v>
      </c>
      <c r="AD38">
        <v>4.3710000000000004</v>
      </c>
      <c r="AE38">
        <v>0.40899999999999997</v>
      </c>
      <c r="AF38">
        <v>1.0049999999999999</v>
      </c>
      <c r="AG38">
        <v>0.997</v>
      </c>
      <c r="AH38">
        <v>0.95699999999999996</v>
      </c>
      <c r="AI38">
        <v>1.36</v>
      </c>
      <c r="AJ38">
        <v>-0.36799999999999999</v>
      </c>
      <c r="AK38">
        <v>2.915</v>
      </c>
      <c r="AL38">
        <v>3.7850000000000001</v>
      </c>
      <c r="AM38">
        <v>0.98199999999999998</v>
      </c>
      <c r="AN38">
        <v>0.94599999999999995</v>
      </c>
      <c r="AO38">
        <v>2.4790000000000001</v>
      </c>
      <c r="AP38">
        <v>1.0509999999999999</v>
      </c>
    </row>
    <row r="39" spans="1:42" x14ac:dyDescent="0.2">
      <c r="A39" t="s">
        <v>198</v>
      </c>
      <c r="B39">
        <v>1.159</v>
      </c>
      <c r="C39">
        <v>0.33600000000000002</v>
      </c>
      <c r="D39">
        <v>1.4610000000000001</v>
      </c>
      <c r="E39">
        <v>1.522</v>
      </c>
      <c r="F39">
        <v>0.77700000000000002</v>
      </c>
      <c r="G39">
        <v>1.0840000000000001</v>
      </c>
      <c r="H39">
        <v>3.0000000000000001E-3</v>
      </c>
      <c r="I39">
        <v>-4.9000000000000002E-2</v>
      </c>
      <c r="J39">
        <v>1.173</v>
      </c>
      <c r="K39">
        <v>1.1759999999999999</v>
      </c>
      <c r="L39">
        <v>1.2549999999999999</v>
      </c>
      <c r="M39">
        <v>1.381</v>
      </c>
      <c r="N39">
        <v>0.29699999999999999</v>
      </c>
      <c r="O39">
        <v>0.28999999999999998</v>
      </c>
      <c r="P39">
        <v>0.26100000000000001</v>
      </c>
      <c r="Q39">
        <v>0.33100000000000002</v>
      </c>
      <c r="R39">
        <v>1.8089999999999999</v>
      </c>
      <c r="S39">
        <v>0.57399999999999995</v>
      </c>
      <c r="T39">
        <v>1.52</v>
      </c>
      <c r="U39">
        <v>2.5249999999999999</v>
      </c>
      <c r="V39">
        <v>1.137</v>
      </c>
      <c r="W39">
        <v>1.871</v>
      </c>
      <c r="X39">
        <v>1.948</v>
      </c>
      <c r="Y39">
        <v>0.28799999999999998</v>
      </c>
      <c r="Z39">
        <v>-8.2000000000000003E-2</v>
      </c>
      <c r="AA39">
        <v>2.8140000000000001</v>
      </c>
      <c r="AB39">
        <v>2.8740000000000001</v>
      </c>
      <c r="AC39">
        <v>3.5830000000000002</v>
      </c>
      <c r="AD39">
        <v>4.4779999999999998</v>
      </c>
      <c r="AE39">
        <v>0.44900000000000001</v>
      </c>
      <c r="AF39">
        <v>1.099</v>
      </c>
      <c r="AG39">
        <v>1.0920000000000001</v>
      </c>
      <c r="AH39">
        <v>1.073</v>
      </c>
      <c r="AI39">
        <v>1.5289999999999999</v>
      </c>
      <c r="AJ39">
        <v>-0.36</v>
      </c>
      <c r="AK39">
        <v>2.9929999999999999</v>
      </c>
      <c r="AL39">
        <v>3.923</v>
      </c>
      <c r="AM39">
        <v>1.081</v>
      </c>
      <c r="AN39">
        <v>1.0720000000000001</v>
      </c>
      <c r="AO39">
        <v>2.5249999999999999</v>
      </c>
      <c r="AP39">
        <v>1.137</v>
      </c>
    </row>
    <row r="40" spans="1:42" x14ac:dyDescent="0.2">
      <c r="A40" t="s">
        <v>199</v>
      </c>
      <c r="B40">
        <v>1.1859999999999999</v>
      </c>
      <c r="C40">
        <v>0.379</v>
      </c>
      <c r="D40">
        <v>1.51</v>
      </c>
      <c r="E40">
        <v>1.5660000000000001</v>
      </c>
      <c r="F40">
        <v>0.81299999999999994</v>
      </c>
      <c r="G40">
        <v>1.135</v>
      </c>
      <c r="H40">
        <v>5.0000000000000001E-3</v>
      </c>
      <c r="I40">
        <v>-4.9000000000000002E-2</v>
      </c>
      <c r="J40">
        <v>1.2010000000000001</v>
      </c>
      <c r="K40">
        <v>1.2050000000000001</v>
      </c>
      <c r="L40">
        <v>1.2909999999999999</v>
      </c>
      <c r="M40">
        <v>1.4159999999999999</v>
      </c>
      <c r="N40">
        <v>0.34100000000000003</v>
      </c>
      <c r="O40">
        <v>0.33400000000000002</v>
      </c>
      <c r="P40">
        <v>0.308</v>
      </c>
      <c r="Q40">
        <v>0.38700000000000001</v>
      </c>
      <c r="R40">
        <v>1.7989999999999999</v>
      </c>
      <c r="S40">
        <v>0.68600000000000005</v>
      </c>
      <c r="T40">
        <v>1.5840000000000001</v>
      </c>
      <c r="U40">
        <v>2.569</v>
      </c>
      <c r="V40">
        <v>1.224</v>
      </c>
      <c r="W40">
        <v>1.9379999999999999</v>
      </c>
      <c r="X40">
        <v>2.02</v>
      </c>
      <c r="Y40">
        <v>0.31</v>
      </c>
      <c r="Z40">
        <v>-7.4999999999999997E-2</v>
      </c>
      <c r="AA40">
        <v>2.8780000000000001</v>
      </c>
      <c r="AB40">
        <v>2.9420000000000002</v>
      </c>
      <c r="AC40">
        <v>3.7</v>
      </c>
      <c r="AD40">
        <v>4.5810000000000004</v>
      </c>
      <c r="AE40">
        <v>0.48899999999999999</v>
      </c>
      <c r="AF40">
        <v>1.194</v>
      </c>
      <c r="AG40">
        <v>1.1890000000000001</v>
      </c>
      <c r="AH40">
        <v>1.1910000000000001</v>
      </c>
      <c r="AI40">
        <v>1.7010000000000001</v>
      </c>
      <c r="AJ40">
        <v>-0.34899999999999998</v>
      </c>
      <c r="AK40">
        <v>3.069</v>
      </c>
      <c r="AL40">
        <v>4.0609999999999999</v>
      </c>
      <c r="AM40">
        <v>1.1819999999999999</v>
      </c>
      <c r="AN40">
        <v>1.202</v>
      </c>
      <c r="AO40">
        <v>2.569</v>
      </c>
      <c r="AP40">
        <v>1.224</v>
      </c>
    </row>
    <row r="41" spans="1:42" x14ac:dyDescent="0.2">
      <c r="A41" t="s">
        <v>200</v>
      </c>
      <c r="B41">
        <v>1.2110000000000001</v>
      </c>
      <c r="C41">
        <v>0.42299999999999999</v>
      </c>
      <c r="D41">
        <v>1.5580000000000001</v>
      </c>
      <c r="E41">
        <v>1.61</v>
      </c>
      <c r="F41">
        <v>0.85</v>
      </c>
      <c r="G41">
        <v>1.1859999999999999</v>
      </c>
      <c r="H41">
        <v>7.0000000000000001E-3</v>
      </c>
      <c r="I41">
        <v>-4.9000000000000002E-2</v>
      </c>
      <c r="J41">
        <v>1.2290000000000001</v>
      </c>
      <c r="K41">
        <v>1.234</v>
      </c>
      <c r="L41">
        <v>1.3260000000000001</v>
      </c>
      <c r="M41">
        <v>1.45</v>
      </c>
      <c r="N41">
        <v>0.38500000000000001</v>
      </c>
      <c r="O41">
        <v>0.378</v>
      </c>
      <c r="P41">
        <v>0.35799999999999998</v>
      </c>
      <c r="Q41">
        <v>0.443</v>
      </c>
      <c r="R41">
        <v>1.784</v>
      </c>
      <c r="S41">
        <v>0.80300000000000005</v>
      </c>
      <c r="T41">
        <v>1.6479999999999999</v>
      </c>
      <c r="U41">
        <v>2.6120000000000001</v>
      </c>
      <c r="V41">
        <v>1.3109999999999999</v>
      </c>
      <c r="W41">
        <v>2.0049999999999999</v>
      </c>
      <c r="X41">
        <v>2.0920000000000001</v>
      </c>
      <c r="Y41">
        <v>0.33300000000000002</v>
      </c>
      <c r="Z41">
        <v>-6.7000000000000004E-2</v>
      </c>
      <c r="AA41">
        <v>2.9420000000000002</v>
      </c>
      <c r="AB41">
        <v>3.01</v>
      </c>
      <c r="AC41">
        <v>3.8180000000000001</v>
      </c>
      <c r="AD41">
        <v>4.681</v>
      </c>
      <c r="AE41">
        <v>0.52800000000000002</v>
      </c>
      <c r="AF41">
        <v>1.2909999999999999</v>
      </c>
      <c r="AG41">
        <v>1.288</v>
      </c>
      <c r="AH41">
        <v>1.3140000000000001</v>
      </c>
      <c r="AI41">
        <v>1.8759999999999999</v>
      </c>
      <c r="AJ41">
        <v>-0.33400000000000002</v>
      </c>
      <c r="AK41">
        <v>3.145</v>
      </c>
      <c r="AL41">
        <v>4.2</v>
      </c>
      <c r="AM41">
        <v>1.284</v>
      </c>
      <c r="AN41">
        <v>1.337</v>
      </c>
      <c r="AO41">
        <v>2.6120000000000001</v>
      </c>
      <c r="AP41">
        <v>1.3109999999999999</v>
      </c>
    </row>
    <row r="42" spans="1:42" x14ac:dyDescent="0.2">
      <c r="A42" t="s">
        <v>201</v>
      </c>
      <c r="B42">
        <v>1.2370000000000001</v>
      </c>
      <c r="C42">
        <v>0.46700000000000003</v>
      </c>
      <c r="D42">
        <v>1.6040000000000001</v>
      </c>
      <c r="E42">
        <v>1.653</v>
      </c>
      <c r="F42">
        <v>0.88700000000000001</v>
      </c>
      <c r="G42">
        <v>1.238</v>
      </c>
      <c r="H42">
        <v>8.9999999999999993E-3</v>
      </c>
      <c r="I42">
        <v>-4.9000000000000002E-2</v>
      </c>
      <c r="J42">
        <v>1.2569999999999999</v>
      </c>
      <c r="K42">
        <v>1.262</v>
      </c>
      <c r="L42">
        <v>1.361</v>
      </c>
      <c r="M42">
        <v>1.4830000000000001</v>
      </c>
      <c r="N42">
        <v>0.43</v>
      </c>
      <c r="O42">
        <v>0.42399999999999999</v>
      </c>
      <c r="P42">
        <v>0.40799999999999997</v>
      </c>
      <c r="Q42">
        <v>0.501</v>
      </c>
      <c r="R42">
        <v>1.7609999999999999</v>
      </c>
      <c r="S42">
        <v>0.92600000000000005</v>
      </c>
      <c r="T42">
        <v>1.712</v>
      </c>
      <c r="U42">
        <v>2.6539999999999999</v>
      </c>
      <c r="V42">
        <v>1.399</v>
      </c>
      <c r="W42">
        <v>2.0720000000000001</v>
      </c>
      <c r="X42">
        <v>2.1629999999999998</v>
      </c>
      <c r="Y42">
        <v>0.35599999999999998</v>
      </c>
      <c r="Z42">
        <v>-5.7000000000000002E-2</v>
      </c>
      <c r="AA42">
        <v>3.0049999999999999</v>
      </c>
      <c r="AB42">
        <v>3.077</v>
      </c>
      <c r="AC42">
        <v>3.9359999999999999</v>
      </c>
      <c r="AD42">
        <v>4.7779999999999996</v>
      </c>
      <c r="AE42">
        <v>0.56799999999999995</v>
      </c>
      <c r="AF42">
        <v>1.389</v>
      </c>
      <c r="AG42">
        <v>1.3879999999999999</v>
      </c>
      <c r="AH42">
        <v>1.4390000000000001</v>
      </c>
      <c r="AI42">
        <v>2.0529999999999999</v>
      </c>
      <c r="AJ42">
        <v>-0.314</v>
      </c>
      <c r="AK42">
        <v>3.22</v>
      </c>
      <c r="AL42">
        <v>4.3410000000000002</v>
      </c>
      <c r="AM42">
        <v>1.389</v>
      </c>
      <c r="AN42">
        <v>1.476</v>
      </c>
      <c r="AO42">
        <v>2.6539999999999999</v>
      </c>
      <c r="AP42">
        <v>1.399</v>
      </c>
    </row>
    <row r="43" spans="1:42" x14ac:dyDescent="0.2">
      <c r="A43" t="s">
        <v>202</v>
      </c>
      <c r="B43">
        <v>1.262</v>
      </c>
      <c r="C43">
        <v>0.51200000000000001</v>
      </c>
      <c r="D43">
        <v>1.65</v>
      </c>
      <c r="E43">
        <v>1.6950000000000001</v>
      </c>
      <c r="F43">
        <v>0.92400000000000004</v>
      </c>
      <c r="G43">
        <v>1.288</v>
      </c>
      <c r="H43">
        <v>1.0999999999999999E-2</v>
      </c>
      <c r="I43">
        <v>-4.8000000000000001E-2</v>
      </c>
      <c r="J43">
        <v>1.284</v>
      </c>
      <c r="K43">
        <v>1.2889999999999999</v>
      </c>
      <c r="L43">
        <v>1.3959999999999999</v>
      </c>
      <c r="M43">
        <v>1.516</v>
      </c>
      <c r="N43">
        <v>0.47599999999999998</v>
      </c>
      <c r="O43">
        <v>0.47</v>
      </c>
      <c r="P43">
        <v>0.46</v>
      </c>
      <c r="Q43">
        <v>0.56000000000000005</v>
      </c>
      <c r="R43">
        <v>1.732</v>
      </c>
      <c r="S43">
        <v>1.056</v>
      </c>
      <c r="T43">
        <v>1.7749999999999999</v>
      </c>
      <c r="U43">
        <v>2.694</v>
      </c>
      <c r="V43">
        <v>1.4870000000000001</v>
      </c>
      <c r="W43">
        <v>2.1389999999999998</v>
      </c>
      <c r="X43">
        <v>2.234</v>
      </c>
      <c r="Y43">
        <v>0.38</v>
      </c>
      <c r="Z43">
        <v>-4.7E-2</v>
      </c>
      <c r="AA43">
        <v>3.0670000000000002</v>
      </c>
      <c r="AB43">
        <v>3.1429999999999998</v>
      </c>
      <c r="AC43">
        <v>4.0549999999999997</v>
      </c>
      <c r="AD43">
        <v>4.8710000000000004</v>
      </c>
      <c r="AE43">
        <v>0.76200000000000001</v>
      </c>
      <c r="AF43">
        <v>1.488</v>
      </c>
      <c r="AG43">
        <v>1.49</v>
      </c>
      <c r="AH43">
        <v>1.5680000000000001</v>
      </c>
      <c r="AI43">
        <v>2.2320000000000002</v>
      </c>
      <c r="AJ43">
        <v>-0.36499999999999999</v>
      </c>
      <c r="AK43">
        <v>3.2949999999999999</v>
      </c>
      <c r="AL43">
        <v>4.4829999999999997</v>
      </c>
      <c r="AM43">
        <v>1.496</v>
      </c>
      <c r="AN43">
        <v>1.6180000000000001</v>
      </c>
      <c r="AO43">
        <v>2.694</v>
      </c>
      <c r="AP43">
        <v>1.4870000000000001</v>
      </c>
    </row>
    <row r="44" spans="1:42" x14ac:dyDescent="0.2">
      <c r="A44" t="s">
        <v>203</v>
      </c>
      <c r="B44">
        <v>1.286</v>
      </c>
      <c r="C44">
        <v>0.55700000000000005</v>
      </c>
      <c r="D44">
        <v>1.6950000000000001</v>
      </c>
      <c r="E44">
        <v>1.736</v>
      </c>
      <c r="F44">
        <v>0.96099999999999997</v>
      </c>
      <c r="G44">
        <v>1.339</v>
      </c>
      <c r="H44">
        <v>1.4E-2</v>
      </c>
      <c r="I44">
        <v>-4.8000000000000001E-2</v>
      </c>
      <c r="J44">
        <v>1.3109999999999999</v>
      </c>
      <c r="K44">
        <v>1.3169999999999999</v>
      </c>
      <c r="L44">
        <v>1.431</v>
      </c>
      <c r="M44">
        <v>1.548</v>
      </c>
      <c r="N44">
        <v>0.52300000000000002</v>
      </c>
      <c r="O44">
        <v>0.51700000000000002</v>
      </c>
      <c r="P44">
        <v>0.51300000000000001</v>
      </c>
      <c r="Q44">
        <v>0.62</v>
      </c>
      <c r="R44">
        <v>1.7030000000000001</v>
      </c>
      <c r="S44">
        <v>1.1839999999999999</v>
      </c>
      <c r="T44">
        <v>1.839</v>
      </c>
      <c r="U44">
        <v>2.7330000000000001</v>
      </c>
      <c r="V44">
        <v>1.575</v>
      </c>
      <c r="W44">
        <v>2.2050000000000001</v>
      </c>
      <c r="X44">
        <v>2.3010000000000002</v>
      </c>
      <c r="Y44">
        <v>0.40400000000000003</v>
      </c>
      <c r="Z44">
        <v>-3.5000000000000003E-2</v>
      </c>
      <c r="AA44">
        <v>3.1280000000000001</v>
      </c>
      <c r="AB44">
        <v>3.2090000000000001</v>
      </c>
      <c r="AC44">
        <v>4.17</v>
      </c>
      <c r="AD44">
        <v>4.9610000000000003</v>
      </c>
      <c r="AE44">
        <v>0.98</v>
      </c>
      <c r="AF44">
        <v>1.589</v>
      </c>
      <c r="AG44">
        <v>1.593</v>
      </c>
      <c r="AH44">
        <v>1.702</v>
      </c>
      <c r="AI44">
        <v>2.4129999999999998</v>
      </c>
      <c r="AJ44">
        <v>-0.41299999999999998</v>
      </c>
      <c r="AK44">
        <v>3.3679999999999999</v>
      </c>
      <c r="AL44">
        <v>4.6210000000000004</v>
      </c>
      <c r="AM44">
        <v>1.6040000000000001</v>
      </c>
      <c r="AN44">
        <v>1.768</v>
      </c>
      <c r="AO44">
        <v>2.7330000000000001</v>
      </c>
      <c r="AP44">
        <v>1.575</v>
      </c>
    </row>
    <row r="45" spans="1:42" x14ac:dyDescent="0.2">
      <c r="A45" t="s">
        <v>204</v>
      </c>
      <c r="B45">
        <v>1.31</v>
      </c>
      <c r="C45">
        <v>0.60299999999999998</v>
      </c>
      <c r="D45">
        <v>1.7390000000000001</v>
      </c>
      <c r="E45">
        <v>1.776</v>
      </c>
      <c r="F45">
        <v>0.998</v>
      </c>
      <c r="G45">
        <v>1.39</v>
      </c>
      <c r="H45">
        <v>1.6E-2</v>
      </c>
      <c r="I45">
        <v>-4.7E-2</v>
      </c>
      <c r="J45">
        <v>1.337</v>
      </c>
      <c r="K45">
        <v>1.3440000000000001</v>
      </c>
      <c r="L45">
        <v>1.464</v>
      </c>
      <c r="M45">
        <v>1.579</v>
      </c>
      <c r="N45">
        <v>0.57099999999999995</v>
      </c>
      <c r="O45">
        <v>0.56499999999999995</v>
      </c>
      <c r="P45">
        <v>0.56699999999999995</v>
      </c>
      <c r="Q45">
        <v>0.68100000000000005</v>
      </c>
      <c r="R45">
        <v>1.6739999999999999</v>
      </c>
      <c r="S45">
        <v>1.3109999999999999</v>
      </c>
      <c r="T45">
        <v>1.9019999999999999</v>
      </c>
      <c r="U45">
        <v>2.7709999999999999</v>
      </c>
      <c r="V45">
        <v>1.6639999999999999</v>
      </c>
      <c r="W45">
        <v>2.27</v>
      </c>
      <c r="X45">
        <v>2.3620000000000001</v>
      </c>
      <c r="Y45">
        <v>0.42799999999999999</v>
      </c>
      <c r="Z45">
        <v>-2.3E-2</v>
      </c>
      <c r="AA45">
        <v>3.1880000000000002</v>
      </c>
      <c r="AB45">
        <v>3.2730000000000001</v>
      </c>
      <c r="AC45">
        <v>4.282</v>
      </c>
      <c r="AD45">
        <v>5.0490000000000004</v>
      </c>
      <c r="AE45">
        <v>1.2</v>
      </c>
      <c r="AF45">
        <v>1.69</v>
      </c>
      <c r="AG45">
        <v>1.6970000000000001</v>
      </c>
      <c r="AH45">
        <v>1.841</v>
      </c>
      <c r="AI45">
        <v>2.5950000000000002</v>
      </c>
      <c r="AJ45">
        <v>-0.44700000000000001</v>
      </c>
      <c r="AK45">
        <v>3.4409999999999998</v>
      </c>
      <c r="AL45">
        <v>4.7539999999999996</v>
      </c>
      <c r="AM45">
        <v>1.714</v>
      </c>
      <c r="AN45">
        <v>1.9239999999999999</v>
      </c>
      <c r="AO45">
        <v>2.7709999999999999</v>
      </c>
      <c r="AP45">
        <v>1.6639999999999999</v>
      </c>
    </row>
    <row r="46" spans="1:42" x14ac:dyDescent="0.2">
      <c r="A46" t="s">
        <v>205</v>
      </c>
      <c r="B46">
        <v>1.3340000000000001</v>
      </c>
      <c r="C46">
        <v>0.65</v>
      </c>
      <c r="D46">
        <v>1.782</v>
      </c>
      <c r="E46">
        <v>1.8160000000000001</v>
      </c>
      <c r="F46">
        <v>1.0349999999999999</v>
      </c>
      <c r="G46">
        <v>1.44</v>
      </c>
      <c r="H46">
        <v>1.7999999999999999E-2</v>
      </c>
      <c r="I46">
        <v>-4.5999999999999999E-2</v>
      </c>
      <c r="J46">
        <v>1.363</v>
      </c>
      <c r="K46">
        <v>1.37</v>
      </c>
      <c r="L46">
        <v>1.4970000000000001</v>
      </c>
      <c r="M46">
        <v>1.61</v>
      </c>
      <c r="N46">
        <v>0.61899999999999999</v>
      </c>
      <c r="O46">
        <v>0.61399999999999999</v>
      </c>
      <c r="P46">
        <v>0.623</v>
      </c>
      <c r="Q46">
        <v>0.74299999999999999</v>
      </c>
      <c r="R46">
        <v>1.647</v>
      </c>
      <c r="S46">
        <v>1.4350000000000001</v>
      </c>
      <c r="T46">
        <v>1.9650000000000001</v>
      </c>
      <c r="U46">
        <v>2.8079999999999998</v>
      </c>
      <c r="V46">
        <v>1.752</v>
      </c>
      <c r="W46">
        <v>2.335</v>
      </c>
      <c r="X46">
        <v>2.419</v>
      </c>
      <c r="Y46">
        <v>0.45300000000000001</v>
      </c>
      <c r="Z46">
        <v>-8.9999999999999993E-3</v>
      </c>
      <c r="AA46">
        <v>3.2469999999999999</v>
      </c>
      <c r="AB46">
        <v>3.3359999999999999</v>
      </c>
      <c r="AC46">
        <v>4.391</v>
      </c>
      <c r="AD46">
        <v>5.1340000000000003</v>
      </c>
      <c r="AE46">
        <v>1.4139999999999999</v>
      </c>
      <c r="AF46">
        <v>1.792</v>
      </c>
      <c r="AG46">
        <v>1.802</v>
      </c>
      <c r="AH46">
        <v>1.9850000000000001</v>
      </c>
      <c r="AI46">
        <v>2.7789999999999999</v>
      </c>
      <c r="AJ46">
        <v>-0.46300000000000002</v>
      </c>
      <c r="AK46">
        <v>3.5129999999999999</v>
      </c>
      <c r="AL46">
        <v>4.8840000000000003</v>
      </c>
      <c r="AM46">
        <v>1.825</v>
      </c>
      <c r="AN46">
        <v>2.0859999999999999</v>
      </c>
      <c r="AO46">
        <v>2.8079999999999998</v>
      </c>
      <c r="AP46">
        <v>1.752</v>
      </c>
    </row>
    <row r="47" spans="1:42" x14ac:dyDescent="0.2">
      <c r="A47" t="s">
        <v>206</v>
      </c>
      <c r="B47">
        <v>1.357</v>
      </c>
      <c r="C47">
        <v>0.69699999999999995</v>
      </c>
      <c r="D47">
        <v>1.8240000000000001</v>
      </c>
      <c r="E47">
        <v>1.8540000000000001</v>
      </c>
      <c r="F47">
        <v>1.0720000000000001</v>
      </c>
      <c r="G47">
        <v>1.49</v>
      </c>
      <c r="H47">
        <v>2.1000000000000001E-2</v>
      </c>
      <c r="I47">
        <v>-4.4999999999999998E-2</v>
      </c>
      <c r="J47">
        <v>1.389</v>
      </c>
      <c r="K47">
        <v>1.3959999999999999</v>
      </c>
      <c r="L47">
        <v>1.53</v>
      </c>
      <c r="M47">
        <v>1.64</v>
      </c>
      <c r="N47">
        <v>0.66800000000000004</v>
      </c>
      <c r="O47">
        <v>0.66300000000000003</v>
      </c>
      <c r="P47">
        <v>0.67900000000000005</v>
      </c>
      <c r="Q47">
        <v>0.80500000000000005</v>
      </c>
      <c r="R47">
        <v>1.621</v>
      </c>
      <c r="S47">
        <v>1.5569999999999999</v>
      </c>
      <c r="T47">
        <v>2.028</v>
      </c>
      <c r="U47">
        <v>2.843</v>
      </c>
      <c r="V47">
        <v>1.84</v>
      </c>
      <c r="W47">
        <v>2.4</v>
      </c>
      <c r="X47">
        <v>2.4700000000000002</v>
      </c>
      <c r="Y47">
        <v>0.47799999999999998</v>
      </c>
      <c r="Z47">
        <v>6.0000000000000001E-3</v>
      </c>
      <c r="AA47">
        <v>3.3050000000000002</v>
      </c>
      <c r="AB47">
        <v>3.399</v>
      </c>
      <c r="AC47">
        <v>4.4960000000000004</v>
      </c>
      <c r="AD47">
        <v>5.2160000000000002</v>
      </c>
      <c r="AE47">
        <v>1.621</v>
      </c>
      <c r="AF47">
        <v>1.8959999999999999</v>
      </c>
      <c r="AG47">
        <v>1.909</v>
      </c>
      <c r="AH47">
        <v>2.133</v>
      </c>
      <c r="AI47">
        <v>2.9630000000000001</v>
      </c>
      <c r="AJ47">
        <v>-0.46100000000000002</v>
      </c>
      <c r="AK47">
        <v>3.585</v>
      </c>
      <c r="AL47">
        <v>5.0090000000000003</v>
      </c>
      <c r="AM47">
        <v>1.9379999999999999</v>
      </c>
      <c r="AN47">
        <v>2.2530000000000001</v>
      </c>
      <c r="AO47">
        <v>2.843</v>
      </c>
      <c r="AP47">
        <v>1.84</v>
      </c>
    </row>
    <row r="48" spans="1:42" x14ac:dyDescent="0.2">
      <c r="A48" t="s">
        <v>207</v>
      </c>
      <c r="B48">
        <v>1.38</v>
      </c>
      <c r="C48">
        <v>0.74399999999999999</v>
      </c>
      <c r="D48">
        <v>1.865</v>
      </c>
      <c r="E48">
        <v>1.8919999999999999</v>
      </c>
      <c r="F48">
        <v>1.109</v>
      </c>
      <c r="G48">
        <v>1.5389999999999999</v>
      </c>
      <c r="H48">
        <v>2.3E-2</v>
      </c>
      <c r="I48">
        <v>-4.3999999999999997E-2</v>
      </c>
      <c r="J48">
        <v>1.4139999999999999</v>
      </c>
      <c r="K48">
        <v>1.4219999999999999</v>
      </c>
      <c r="L48">
        <v>1.5620000000000001</v>
      </c>
      <c r="M48">
        <v>1.67</v>
      </c>
      <c r="N48">
        <v>0.71699999999999997</v>
      </c>
      <c r="O48">
        <v>0.71299999999999997</v>
      </c>
      <c r="P48">
        <v>0.73699999999999999</v>
      </c>
      <c r="Q48">
        <v>0.86799999999999999</v>
      </c>
      <c r="R48">
        <v>1.5960000000000001</v>
      </c>
      <c r="S48">
        <v>1.6759999999999999</v>
      </c>
      <c r="T48">
        <v>2.09</v>
      </c>
      <c r="U48">
        <v>2.8769999999999998</v>
      </c>
      <c r="V48">
        <v>1.9279999999999999</v>
      </c>
      <c r="W48">
        <v>2.4630000000000001</v>
      </c>
      <c r="X48">
        <v>2.5169999999999999</v>
      </c>
      <c r="Y48">
        <v>0.503</v>
      </c>
      <c r="Z48">
        <v>2.1999999999999999E-2</v>
      </c>
      <c r="AA48">
        <v>3.3620000000000001</v>
      </c>
      <c r="AB48">
        <v>3.4609999999999999</v>
      </c>
      <c r="AC48">
        <v>4.5979999999999999</v>
      </c>
      <c r="AD48">
        <v>5.2949999999999999</v>
      </c>
      <c r="AE48">
        <v>1.8220000000000001</v>
      </c>
      <c r="AF48">
        <v>2</v>
      </c>
      <c r="AG48">
        <v>2.016</v>
      </c>
      <c r="AH48">
        <v>2.2850000000000001</v>
      </c>
      <c r="AI48">
        <v>3.1480000000000001</v>
      </c>
      <c r="AJ48">
        <v>-0.442</v>
      </c>
      <c r="AK48">
        <v>3.6549999999999998</v>
      </c>
      <c r="AL48">
        <v>5.13</v>
      </c>
      <c r="AM48">
        <v>2.052</v>
      </c>
      <c r="AN48">
        <v>2.4260000000000002</v>
      </c>
      <c r="AO48">
        <v>2.8769999999999998</v>
      </c>
      <c r="AP48">
        <v>1.9279999999999999</v>
      </c>
    </row>
    <row r="49" spans="1:42" x14ac:dyDescent="0.2">
      <c r="A49" t="s">
        <v>208</v>
      </c>
      <c r="B49">
        <v>1.4019999999999999</v>
      </c>
      <c r="C49">
        <v>0.79200000000000004</v>
      </c>
      <c r="D49">
        <v>1.9059999999999999</v>
      </c>
      <c r="E49">
        <v>1.929</v>
      </c>
      <c r="F49">
        <v>1.147</v>
      </c>
      <c r="G49">
        <v>1.589</v>
      </c>
      <c r="H49">
        <v>2.5999999999999999E-2</v>
      </c>
      <c r="I49">
        <v>-4.2000000000000003E-2</v>
      </c>
      <c r="J49">
        <v>1.4390000000000001</v>
      </c>
      <c r="K49">
        <v>1.448</v>
      </c>
      <c r="L49">
        <v>1.593</v>
      </c>
      <c r="M49">
        <v>1.6990000000000001</v>
      </c>
      <c r="N49">
        <v>0.76700000000000002</v>
      </c>
      <c r="O49">
        <v>0.76400000000000001</v>
      </c>
      <c r="P49">
        <v>0.79500000000000004</v>
      </c>
      <c r="Q49">
        <v>0.93200000000000005</v>
      </c>
      <c r="R49">
        <v>1.5720000000000001</v>
      </c>
      <c r="S49">
        <v>1.7929999999999999</v>
      </c>
      <c r="T49">
        <v>2.1509999999999998</v>
      </c>
      <c r="U49">
        <v>2.911</v>
      </c>
      <c r="V49">
        <v>2.016</v>
      </c>
      <c r="W49">
        <v>2.5270000000000001</v>
      </c>
      <c r="X49">
        <v>2.56</v>
      </c>
      <c r="Y49">
        <v>0.52900000000000003</v>
      </c>
      <c r="Z49">
        <v>3.9E-2</v>
      </c>
      <c r="AA49">
        <v>3.419</v>
      </c>
      <c r="AB49">
        <v>3.5219999999999998</v>
      </c>
      <c r="AC49">
        <v>4.6959999999999997</v>
      </c>
      <c r="AD49">
        <v>5.3719999999999999</v>
      </c>
      <c r="AE49">
        <v>2.0150000000000001</v>
      </c>
      <c r="AF49">
        <v>2.1040000000000001</v>
      </c>
      <c r="AG49">
        <v>2.1240000000000001</v>
      </c>
      <c r="AH49">
        <v>2.44</v>
      </c>
      <c r="AI49">
        <v>3.3330000000000002</v>
      </c>
      <c r="AJ49">
        <v>-0.40699999999999997</v>
      </c>
      <c r="AK49">
        <v>3.7250000000000001</v>
      </c>
      <c r="AL49">
        <v>5.2469999999999999</v>
      </c>
      <c r="AM49">
        <v>2.1669999999999998</v>
      </c>
      <c r="AN49">
        <v>2.6030000000000002</v>
      </c>
      <c r="AO49">
        <v>2.911</v>
      </c>
      <c r="AP49">
        <v>2.016</v>
      </c>
    </row>
    <row r="50" spans="1:42" x14ac:dyDescent="0.2">
      <c r="A50" t="s">
        <v>209</v>
      </c>
      <c r="B50">
        <v>1.4239999999999999</v>
      </c>
      <c r="C50">
        <v>0.84</v>
      </c>
      <c r="D50">
        <v>1.946</v>
      </c>
      <c r="E50">
        <v>1.966</v>
      </c>
      <c r="F50">
        <v>1.1839999999999999</v>
      </c>
      <c r="G50">
        <v>1.6379999999999999</v>
      </c>
      <c r="H50">
        <v>2.9000000000000001E-2</v>
      </c>
      <c r="I50">
        <v>-0.04</v>
      </c>
      <c r="J50">
        <v>1.464</v>
      </c>
      <c r="K50">
        <v>1.4730000000000001</v>
      </c>
      <c r="L50">
        <v>1.623</v>
      </c>
      <c r="M50">
        <v>1.7270000000000001</v>
      </c>
      <c r="N50">
        <v>0.81799999999999995</v>
      </c>
      <c r="O50">
        <v>0.81499999999999995</v>
      </c>
      <c r="P50">
        <v>0.85399999999999998</v>
      </c>
      <c r="Q50">
        <v>0.997</v>
      </c>
      <c r="R50">
        <v>1.55</v>
      </c>
      <c r="S50">
        <v>1.9079999999999999</v>
      </c>
      <c r="T50">
        <v>2.2120000000000002</v>
      </c>
      <c r="U50">
        <v>2.9430000000000001</v>
      </c>
      <c r="V50">
        <v>2.1040000000000001</v>
      </c>
      <c r="W50">
        <v>2.589</v>
      </c>
      <c r="X50">
        <v>2.5979999999999999</v>
      </c>
      <c r="Y50">
        <v>0.55500000000000005</v>
      </c>
      <c r="Z50">
        <v>5.7000000000000002E-2</v>
      </c>
      <c r="AA50">
        <v>3.4750000000000001</v>
      </c>
      <c r="AB50">
        <v>3.5830000000000002</v>
      </c>
      <c r="AC50">
        <v>4.7910000000000004</v>
      </c>
      <c r="AD50">
        <v>5.4459999999999997</v>
      </c>
      <c r="AE50">
        <v>2.2010000000000001</v>
      </c>
      <c r="AF50">
        <v>2.2090000000000001</v>
      </c>
      <c r="AG50">
        <v>2.2330000000000001</v>
      </c>
      <c r="AH50">
        <v>2.5990000000000002</v>
      </c>
      <c r="AI50">
        <v>3.5190000000000001</v>
      </c>
      <c r="AJ50">
        <v>-0.35599999999999998</v>
      </c>
      <c r="AK50">
        <v>3.7949999999999999</v>
      </c>
      <c r="AL50">
        <v>5.36</v>
      </c>
      <c r="AM50">
        <v>2.2829999999999999</v>
      </c>
      <c r="AN50">
        <v>2.7839999999999998</v>
      </c>
      <c r="AO50">
        <v>2.9430000000000001</v>
      </c>
      <c r="AP50">
        <v>2.1040000000000001</v>
      </c>
    </row>
    <row r="51" spans="1:42" x14ac:dyDescent="0.2">
      <c r="A51" t="s">
        <v>210</v>
      </c>
      <c r="B51">
        <v>1.4450000000000001</v>
      </c>
      <c r="C51">
        <v>0.88900000000000001</v>
      </c>
      <c r="D51">
        <v>1.9850000000000001</v>
      </c>
      <c r="E51">
        <v>2.0019999999999998</v>
      </c>
      <c r="F51">
        <v>1.2210000000000001</v>
      </c>
      <c r="G51">
        <v>1.6859999999999999</v>
      </c>
      <c r="H51">
        <v>3.1E-2</v>
      </c>
      <c r="I51">
        <v>-3.9E-2</v>
      </c>
      <c r="J51">
        <v>1.488</v>
      </c>
      <c r="K51">
        <v>1.498</v>
      </c>
      <c r="L51">
        <v>1.653</v>
      </c>
      <c r="M51">
        <v>1.7549999999999999</v>
      </c>
      <c r="N51">
        <v>0.86899999999999999</v>
      </c>
      <c r="O51">
        <v>0.86599999999999999</v>
      </c>
      <c r="P51">
        <v>0.91500000000000004</v>
      </c>
      <c r="Q51">
        <v>1.0609999999999999</v>
      </c>
      <c r="R51">
        <v>1.528</v>
      </c>
      <c r="S51">
        <v>2.0209999999999999</v>
      </c>
      <c r="T51">
        <v>2.2709999999999999</v>
      </c>
      <c r="U51">
        <v>2.9740000000000002</v>
      </c>
      <c r="V51">
        <v>2.1909999999999998</v>
      </c>
      <c r="W51">
        <v>2.6509999999999998</v>
      </c>
      <c r="X51">
        <v>2.633</v>
      </c>
      <c r="Y51">
        <v>0.58099999999999996</v>
      </c>
      <c r="Z51">
        <v>7.5999999999999998E-2</v>
      </c>
      <c r="AA51">
        <v>3.53</v>
      </c>
      <c r="AB51">
        <v>3.6429999999999998</v>
      </c>
      <c r="AC51">
        <v>4.8840000000000003</v>
      </c>
      <c r="AD51">
        <v>5.5179999999999998</v>
      </c>
      <c r="AE51">
        <v>2.38</v>
      </c>
      <c r="AF51">
        <v>2.3149999999999999</v>
      </c>
      <c r="AG51">
        <v>2.343</v>
      </c>
      <c r="AH51">
        <v>2.76</v>
      </c>
      <c r="AI51">
        <v>3.7040000000000002</v>
      </c>
      <c r="AJ51">
        <v>-0.29199999999999998</v>
      </c>
      <c r="AK51">
        <v>3.863</v>
      </c>
      <c r="AL51">
        <v>5.47</v>
      </c>
      <c r="AM51">
        <v>2.4</v>
      </c>
      <c r="AN51">
        <v>2.9689999999999999</v>
      </c>
      <c r="AO51">
        <v>2.9740000000000002</v>
      </c>
      <c r="AP51">
        <v>2.1909999999999998</v>
      </c>
    </row>
    <row r="52" spans="1:42" x14ac:dyDescent="0.2">
      <c r="A52" t="s">
        <v>211</v>
      </c>
      <c r="B52">
        <v>1.466</v>
      </c>
      <c r="C52">
        <v>0.93700000000000006</v>
      </c>
      <c r="D52">
        <v>2.0230000000000001</v>
      </c>
      <c r="E52">
        <v>2.0369999999999999</v>
      </c>
      <c r="F52">
        <v>1.2589999999999999</v>
      </c>
      <c r="G52">
        <v>1.7350000000000001</v>
      </c>
      <c r="H52">
        <v>3.4000000000000002E-2</v>
      </c>
      <c r="I52">
        <v>-3.6999999999999998E-2</v>
      </c>
      <c r="J52">
        <v>1.512</v>
      </c>
      <c r="K52">
        <v>1.522</v>
      </c>
      <c r="L52">
        <v>1.6830000000000001</v>
      </c>
      <c r="M52">
        <v>1.7829999999999999</v>
      </c>
      <c r="N52">
        <v>0.92</v>
      </c>
      <c r="O52">
        <v>0.91800000000000004</v>
      </c>
      <c r="P52">
        <v>0.97499999999999998</v>
      </c>
      <c r="Q52">
        <v>1.127</v>
      </c>
      <c r="R52">
        <v>1.508</v>
      </c>
      <c r="S52">
        <v>2.1320000000000001</v>
      </c>
      <c r="T52">
        <v>2.33</v>
      </c>
      <c r="U52">
        <v>3.0049999999999999</v>
      </c>
      <c r="V52">
        <v>2.2770000000000001</v>
      </c>
      <c r="W52">
        <v>2.7120000000000002</v>
      </c>
      <c r="X52">
        <v>2.6629999999999998</v>
      </c>
      <c r="Y52">
        <v>0.60699999999999998</v>
      </c>
      <c r="Z52">
        <v>9.6000000000000002E-2</v>
      </c>
      <c r="AA52">
        <v>3.5840000000000001</v>
      </c>
      <c r="AB52">
        <v>3.702</v>
      </c>
      <c r="AC52">
        <v>4.9729999999999999</v>
      </c>
      <c r="AD52">
        <v>5.5869999999999997</v>
      </c>
      <c r="AE52">
        <v>2.5539999999999998</v>
      </c>
      <c r="AF52">
        <v>2.4209999999999998</v>
      </c>
      <c r="AG52">
        <v>2.4529999999999998</v>
      </c>
      <c r="AH52">
        <v>2.923</v>
      </c>
      <c r="AI52">
        <v>3.89</v>
      </c>
      <c r="AJ52">
        <v>-0.215</v>
      </c>
      <c r="AK52">
        <v>3.931</v>
      </c>
      <c r="AL52">
        <v>5.5759999999999996</v>
      </c>
      <c r="AM52">
        <v>2.5179999999999998</v>
      </c>
      <c r="AN52">
        <v>3.1560000000000001</v>
      </c>
      <c r="AO52">
        <v>3.0049999999999999</v>
      </c>
      <c r="AP52">
        <v>2.2770000000000001</v>
      </c>
    </row>
    <row r="53" spans="1:42" x14ac:dyDescent="0.2">
      <c r="A53" t="s">
        <v>212</v>
      </c>
      <c r="B53">
        <v>1.4870000000000001</v>
      </c>
      <c r="C53">
        <v>0.98699999999999999</v>
      </c>
      <c r="D53">
        <v>2.06</v>
      </c>
      <c r="E53">
        <v>2.0710000000000002</v>
      </c>
      <c r="F53">
        <v>1.296</v>
      </c>
      <c r="G53">
        <v>1.7829999999999999</v>
      </c>
      <c r="H53">
        <v>3.6999999999999998E-2</v>
      </c>
      <c r="I53">
        <v>-3.5000000000000003E-2</v>
      </c>
      <c r="J53">
        <v>1.5349999999999999</v>
      </c>
      <c r="K53">
        <v>1.546</v>
      </c>
      <c r="L53">
        <v>1.7110000000000001</v>
      </c>
      <c r="M53">
        <v>1.81</v>
      </c>
      <c r="N53">
        <v>0.97199999999999998</v>
      </c>
      <c r="O53">
        <v>0.97099999999999997</v>
      </c>
      <c r="P53">
        <v>1.0369999999999999</v>
      </c>
      <c r="Q53">
        <v>1.1930000000000001</v>
      </c>
      <c r="R53">
        <v>1.4890000000000001</v>
      </c>
      <c r="S53">
        <v>2.2400000000000002</v>
      </c>
      <c r="T53">
        <v>2.387</v>
      </c>
      <c r="U53">
        <v>3.0339999999999998</v>
      </c>
      <c r="V53">
        <v>2.363</v>
      </c>
      <c r="W53">
        <v>2.7730000000000001</v>
      </c>
      <c r="X53">
        <v>2.69</v>
      </c>
      <c r="Y53">
        <v>0.63400000000000001</v>
      </c>
      <c r="Z53">
        <v>0.11700000000000001</v>
      </c>
      <c r="AA53">
        <v>3.6379999999999999</v>
      </c>
      <c r="AB53">
        <v>3.76</v>
      </c>
      <c r="AC53">
        <v>5.0590000000000002</v>
      </c>
      <c r="AD53">
        <v>5.6539999999999999</v>
      </c>
      <c r="AE53">
        <v>2.7210000000000001</v>
      </c>
      <c r="AF53">
        <v>2.5270000000000001</v>
      </c>
      <c r="AG53">
        <v>2.5630000000000002</v>
      </c>
      <c r="AH53">
        <v>3.089</v>
      </c>
      <c r="AI53">
        <v>4.0739999999999998</v>
      </c>
      <c r="AJ53">
        <v>-0.126</v>
      </c>
      <c r="AK53">
        <v>3.9990000000000001</v>
      </c>
      <c r="AL53">
        <v>5.6779999999999999</v>
      </c>
      <c r="AM53">
        <v>2.637</v>
      </c>
      <c r="AN53">
        <v>3.347</v>
      </c>
      <c r="AO53">
        <v>3.0339999999999998</v>
      </c>
      <c r="AP53">
        <v>2.363</v>
      </c>
    </row>
    <row r="54" spans="1:42" x14ac:dyDescent="0.2">
      <c r="A54" t="s">
        <v>213</v>
      </c>
      <c r="B54">
        <v>1.5069999999999999</v>
      </c>
      <c r="C54">
        <v>1.036</v>
      </c>
      <c r="D54">
        <v>2.097</v>
      </c>
      <c r="E54">
        <v>2.105</v>
      </c>
      <c r="F54">
        <v>1.333</v>
      </c>
      <c r="G54">
        <v>1.831</v>
      </c>
      <c r="H54">
        <v>0.04</v>
      </c>
      <c r="I54">
        <v>-3.2000000000000001E-2</v>
      </c>
      <c r="J54">
        <v>1.5580000000000001</v>
      </c>
      <c r="K54">
        <v>1.57</v>
      </c>
      <c r="L54">
        <v>1.74</v>
      </c>
      <c r="M54">
        <v>1.8360000000000001</v>
      </c>
      <c r="N54">
        <v>1.024</v>
      </c>
      <c r="O54">
        <v>1.024</v>
      </c>
      <c r="P54">
        <v>1.099</v>
      </c>
      <c r="Q54">
        <v>1.2589999999999999</v>
      </c>
      <c r="R54">
        <v>1.47</v>
      </c>
      <c r="S54">
        <v>2.3460000000000001</v>
      </c>
      <c r="T54">
        <v>2.444</v>
      </c>
      <c r="U54">
        <v>3.0619999999999998</v>
      </c>
      <c r="V54">
        <v>2.4489999999999998</v>
      </c>
      <c r="W54">
        <v>2.8330000000000002</v>
      </c>
      <c r="X54">
        <v>2.718</v>
      </c>
      <c r="Y54">
        <v>0.66100000000000003</v>
      </c>
      <c r="Z54">
        <v>0.13900000000000001</v>
      </c>
      <c r="AA54">
        <v>3.69</v>
      </c>
      <c r="AB54">
        <v>3.8180000000000001</v>
      </c>
      <c r="AC54">
        <v>5.1429999999999998</v>
      </c>
      <c r="AD54">
        <v>5.72</v>
      </c>
      <c r="AE54">
        <v>2.883</v>
      </c>
      <c r="AF54">
        <v>2.6339999999999999</v>
      </c>
      <c r="AG54">
        <v>2.6739999999999999</v>
      </c>
      <c r="AH54">
        <v>3.2559999999999998</v>
      </c>
      <c r="AI54">
        <v>4.2590000000000003</v>
      </c>
      <c r="AJ54">
        <v>-2.5999999999999999E-2</v>
      </c>
      <c r="AK54">
        <v>4.0659999999999998</v>
      </c>
      <c r="AL54">
        <v>5.7779999999999996</v>
      </c>
      <c r="AM54">
        <v>2.7570000000000001</v>
      </c>
      <c r="AN54">
        <v>3.5390000000000001</v>
      </c>
      <c r="AO54">
        <v>3.0619999999999998</v>
      </c>
      <c r="AP54">
        <v>2.4489999999999998</v>
      </c>
    </row>
    <row r="55" spans="1:42" x14ac:dyDescent="0.2">
      <c r="A55" t="s">
        <v>214</v>
      </c>
      <c r="B55">
        <v>1.5269999999999999</v>
      </c>
      <c r="C55">
        <v>1.085</v>
      </c>
      <c r="D55">
        <v>2.133</v>
      </c>
      <c r="E55">
        <v>2.1379999999999999</v>
      </c>
      <c r="F55">
        <v>1.37</v>
      </c>
      <c r="G55">
        <v>1.879</v>
      </c>
      <c r="H55">
        <v>4.2999999999999997E-2</v>
      </c>
      <c r="I55">
        <v>-0.03</v>
      </c>
      <c r="J55">
        <v>1.581</v>
      </c>
      <c r="K55">
        <v>1.5940000000000001</v>
      </c>
      <c r="L55">
        <v>1.7669999999999999</v>
      </c>
      <c r="M55">
        <v>1.8620000000000001</v>
      </c>
      <c r="N55">
        <v>1.077</v>
      </c>
      <c r="O55">
        <v>1.077</v>
      </c>
      <c r="P55">
        <v>1.1619999999999999</v>
      </c>
      <c r="Q55">
        <v>1.3260000000000001</v>
      </c>
      <c r="R55">
        <v>1.4530000000000001</v>
      </c>
      <c r="S55">
        <v>2.4510000000000001</v>
      </c>
      <c r="T55">
        <v>2.5</v>
      </c>
      <c r="U55">
        <v>3.09</v>
      </c>
      <c r="V55">
        <v>2.5339999999999998</v>
      </c>
      <c r="W55">
        <v>2.8919999999999999</v>
      </c>
      <c r="X55">
        <v>2.7480000000000002</v>
      </c>
      <c r="Y55">
        <v>0.68799999999999994</v>
      </c>
      <c r="Z55">
        <v>0.16200000000000001</v>
      </c>
      <c r="AA55">
        <v>3.7429999999999999</v>
      </c>
      <c r="AB55">
        <v>3.875</v>
      </c>
      <c r="AC55">
        <v>5.2240000000000002</v>
      </c>
      <c r="AD55">
        <v>5.7830000000000004</v>
      </c>
      <c r="AE55">
        <v>3.0390000000000001</v>
      </c>
      <c r="AF55">
        <v>2.7410000000000001</v>
      </c>
      <c r="AG55">
        <v>2.786</v>
      </c>
      <c r="AH55">
        <v>3.4249999999999998</v>
      </c>
      <c r="AI55">
        <v>4.4420000000000002</v>
      </c>
      <c r="AJ55">
        <v>8.4000000000000005E-2</v>
      </c>
      <c r="AK55">
        <v>4.1319999999999997</v>
      </c>
      <c r="AL55">
        <v>5.8739999999999997</v>
      </c>
      <c r="AM55">
        <v>2.8769999999999998</v>
      </c>
      <c r="AN55">
        <v>3.734</v>
      </c>
      <c r="AO55">
        <v>3.09</v>
      </c>
      <c r="AP55">
        <v>2.5339999999999998</v>
      </c>
    </row>
    <row r="56" spans="1:42" x14ac:dyDescent="0.2">
      <c r="A56" t="s">
        <v>215</v>
      </c>
      <c r="B56">
        <v>1.5469999999999999</v>
      </c>
      <c r="C56">
        <v>1.135</v>
      </c>
      <c r="D56">
        <v>2.1680000000000001</v>
      </c>
      <c r="E56">
        <v>2.1709999999999998</v>
      </c>
      <c r="F56">
        <v>1.407</v>
      </c>
      <c r="G56">
        <v>1.9259999999999999</v>
      </c>
      <c r="H56">
        <v>4.5999999999999999E-2</v>
      </c>
      <c r="I56">
        <v>-2.7E-2</v>
      </c>
      <c r="J56">
        <v>1.6040000000000001</v>
      </c>
      <c r="K56">
        <v>1.617</v>
      </c>
      <c r="L56">
        <v>1.7949999999999999</v>
      </c>
      <c r="M56">
        <v>1.8879999999999999</v>
      </c>
      <c r="N56">
        <v>1.1299999999999999</v>
      </c>
      <c r="O56">
        <v>1.1299999999999999</v>
      </c>
      <c r="P56">
        <v>1.2250000000000001</v>
      </c>
      <c r="Q56">
        <v>1.3919999999999999</v>
      </c>
      <c r="R56">
        <v>1.4359999999999999</v>
      </c>
      <c r="S56">
        <v>2.5529999999999999</v>
      </c>
      <c r="T56">
        <v>2.5539999999999998</v>
      </c>
      <c r="U56">
        <v>3.1160000000000001</v>
      </c>
      <c r="V56">
        <v>2.6179999999999999</v>
      </c>
      <c r="W56">
        <v>2.95</v>
      </c>
      <c r="X56">
        <v>2.7789999999999999</v>
      </c>
      <c r="Y56">
        <v>0.71599999999999997</v>
      </c>
      <c r="Z56">
        <v>0.187</v>
      </c>
      <c r="AA56">
        <v>3.794</v>
      </c>
      <c r="AB56">
        <v>3.931</v>
      </c>
      <c r="AC56">
        <v>5.3019999999999996</v>
      </c>
      <c r="AD56">
        <v>5.8440000000000003</v>
      </c>
      <c r="AE56">
        <v>3.1890000000000001</v>
      </c>
      <c r="AF56">
        <v>2.8479999999999999</v>
      </c>
      <c r="AG56">
        <v>2.8969999999999998</v>
      </c>
      <c r="AH56">
        <v>3.5939999999999999</v>
      </c>
      <c r="AI56">
        <v>4.625</v>
      </c>
      <c r="AJ56">
        <v>0.20200000000000001</v>
      </c>
      <c r="AK56">
        <v>4.1980000000000004</v>
      </c>
      <c r="AL56">
        <v>5.9669999999999996</v>
      </c>
      <c r="AM56">
        <v>2.9980000000000002</v>
      </c>
      <c r="AN56">
        <v>3.93</v>
      </c>
      <c r="AO56">
        <v>3.1160000000000001</v>
      </c>
      <c r="AP56">
        <v>2.6179999999999999</v>
      </c>
    </row>
    <row r="57" spans="1:42" x14ac:dyDescent="0.2">
      <c r="A57" t="s">
        <v>216</v>
      </c>
      <c r="B57">
        <v>1.5660000000000001</v>
      </c>
      <c r="C57">
        <v>1.1850000000000001</v>
      </c>
      <c r="D57">
        <v>2.2029999999999998</v>
      </c>
      <c r="E57">
        <v>2.2029999999999998</v>
      </c>
      <c r="F57">
        <v>1.444</v>
      </c>
      <c r="G57">
        <v>1.9730000000000001</v>
      </c>
      <c r="H57">
        <v>4.9000000000000002E-2</v>
      </c>
      <c r="I57">
        <v>-2.4E-2</v>
      </c>
      <c r="J57">
        <v>1.6259999999999999</v>
      </c>
      <c r="K57">
        <v>1.64</v>
      </c>
      <c r="L57">
        <v>1.821</v>
      </c>
      <c r="M57">
        <v>1.913</v>
      </c>
      <c r="N57">
        <v>1.1830000000000001</v>
      </c>
      <c r="O57">
        <v>1.1839999999999999</v>
      </c>
      <c r="P57">
        <v>1.2889999999999999</v>
      </c>
      <c r="Q57">
        <v>1.46</v>
      </c>
      <c r="R57">
        <v>1.42</v>
      </c>
      <c r="S57">
        <v>2.6539999999999999</v>
      </c>
      <c r="T57">
        <v>2.6080000000000001</v>
      </c>
      <c r="U57">
        <v>3.1419999999999999</v>
      </c>
      <c r="V57">
        <v>2.702</v>
      </c>
      <c r="W57">
        <v>3.008</v>
      </c>
      <c r="X57">
        <v>2.8119999999999998</v>
      </c>
      <c r="Y57">
        <v>0.74299999999999999</v>
      </c>
      <c r="Z57">
        <v>0.21199999999999999</v>
      </c>
      <c r="AA57">
        <v>3.8450000000000002</v>
      </c>
      <c r="AB57">
        <v>3.9870000000000001</v>
      </c>
      <c r="AC57">
        <v>5.3780000000000001</v>
      </c>
      <c r="AD57">
        <v>5.9029999999999996</v>
      </c>
      <c r="AE57">
        <v>3.335</v>
      </c>
      <c r="AF57">
        <v>2.9550000000000001</v>
      </c>
      <c r="AG57">
        <v>3.0089999999999999</v>
      </c>
      <c r="AH57">
        <v>3.7650000000000001</v>
      </c>
      <c r="AI57">
        <v>4.8070000000000004</v>
      </c>
      <c r="AJ57">
        <v>0.32900000000000001</v>
      </c>
      <c r="AK57">
        <v>4.2629999999999999</v>
      </c>
      <c r="AL57">
        <v>6.0570000000000004</v>
      </c>
      <c r="AM57">
        <v>3.12</v>
      </c>
      <c r="AN57">
        <v>4.1280000000000001</v>
      </c>
      <c r="AO57">
        <v>3.1419999999999999</v>
      </c>
      <c r="AP57">
        <v>2.702</v>
      </c>
    </row>
    <row r="58" spans="1:42" x14ac:dyDescent="0.2">
      <c r="A58" t="s">
        <v>217</v>
      </c>
      <c r="B58">
        <v>1.585</v>
      </c>
      <c r="C58">
        <v>1.2350000000000001</v>
      </c>
      <c r="D58">
        <v>2.2360000000000002</v>
      </c>
      <c r="E58">
        <v>2.234</v>
      </c>
      <c r="F58">
        <v>1.4810000000000001</v>
      </c>
      <c r="G58">
        <v>2.0190000000000001</v>
      </c>
      <c r="H58">
        <v>5.1999999999999998E-2</v>
      </c>
      <c r="I58">
        <v>-2.1000000000000001E-2</v>
      </c>
      <c r="J58">
        <v>1.6479999999999999</v>
      </c>
      <c r="K58">
        <v>1.6619999999999999</v>
      </c>
      <c r="L58">
        <v>1.8480000000000001</v>
      </c>
      <c r="M58">
        <v>1.9370000000000001</v>
      </c>
      <c r="N58">
        <v>1.2370000000000001</v>
      </c>
      <c r="O58">
        <v>1.2390000000000001</v>
      </c>
      <c r="P58">
        <v>1.353</v>
      </c>
      <c r="Q58">
        <v>1.5269999999999999</v>
      </c>
      <c r="R58">
        <v>1.4059999999999999</v>
      </c>
      <c r="S58">
        <v>2.7530000000000001</v>
      </c>
      <c r="T58">
        <v>2.661</v>
      </c>
      <c r="U58">
        <v>3.1669999999999998</v>
      </c>
      <c r="V58">
        <v>2.7839999999999998</v>
      </c>
      <c r="W58">
        <v>3.0649999999999999</v>
      </c>
      <c r="X58">
        <v>2.8460000000000001</v>
      </c>
      <c r="Y58">
        <v>0.77100000000000002</v>
      </c>
      <c r="Z58">
        <v>0.23799999999999999</v>
      </c>
      <c r="AA58">
        <v>3.895</v>
      </c>
      <c r="AB58">
        <v>4.0430000000000001</v>
      </c>
      <c r="AC58">
        <v>5.452</v>
      </c>
      <c r="AD58">
        <v>5.96</v>
      </c>
      <c r="AE58">
        <v>3.476</v>
      </c>
      <c r="AF58">
        <v>3.0619999999999998</v>
      </c>
      <c r="AG58">
        <v>3.121</v>
      </c>
      <c r="AH58">
        <v>3.9359999999999999</v>
      </c>
      <c r="AI58">
        <v>4.9880000000000004</v>
      </c>
      <c r="AJ58">
        <v>0.46400000000000002</v>
      </c>
      <c r="AK58">
        <v>4.3280000000000003</v>
      </c>
      <c r="AL58">
        <v>6.1440000000000001</v>
      </c>
      <c r="AM58">
        <v>3.242</v>
      </c>
      <c r="AN58">
        <v>4.3259999999999996</v>
      </c>
      <c r="AO58">
        <v>3.1669999999999998</v>
      </c>
      <c r="AP58">
        <v>2.7839999999999998</v>
      </c>
    </row>
    <row r="59" spans="1:42" x14ac:dyDescent="0.2">
      <c r="A59" t="s">
        <v>218</v>
      </c>
      <c r="B59">
        <v>1.6040000000000001</v>
      </c>
      <c r="C59">
        <v>1.2849999999999999</v>
      </c>
      <c r="D59">
        <v>2.27</v>
      </c>
      <c r="E59">
        <v>2.2639999999999998</v>
      </c>
      <c r="F59">
        <v>1.518</v>
      </c>
      <c r="G59">
        <v>2.0659999999999998</v>
      </c>
      <c r="H59">
        <v>5.5E-2</v>
      </c>
      <c r="I59">
        <v>-1.7999999999999999E-2</v>
      </c>
      <c r="J59">
        <v>1.67</v>
      </c>
      <c r="K59">
        <v>1.6850000000000001</v>
      </c>
      <c r="L59">
        <v>1.873</v>
      </c>
      <c r="M59">
        <v>1.9610000000000001</v>
      </c>
      <c r="N59">
        <v>1.29</v>
      </c>
      <c r="O59">
        <v>1.2929999999999999</v>
      </c>
      <c r="P59">
        <v>1.4179999999999999</v>
      </c>
      <c r="Q59">
        <v>1.5940000000000001</v>
      </c>
      <c r="R59">
        <v>1.391</v>
      </c>
      <c r="S59">
        <v>2.85</v>
      </c>
      <c r="T59">
        <v>2.7120000000000002</v>
      </c>
      <c r="U59">
        <v>3.1909999999999998</v>
      </c>
      <c r="V59">
        <v>2.8660000000000001</v>
      </c>
      <c r="W59">
        <v>3.121</v>
      </c>
      <c r="X59">
        <v>2.8809999999999998</v>
      </c>
      <c r="Y59">
        <v>0.79900000000000004</v>
      </c>
      <c r="Z59">
        <v>0.26500000000000001</v>
      </c>
      <c r="AA59">
        <v>3.9449999999999998</v>
      </c>
      <c r="AB59">
        <v>4.0970000000000004</v>
      </c>
      <c r="AC59">
        <v>5.5229999999999997</v>
      </c>
      <c r="AD59">
        <v>6.0149999999999997</v>
      </c>
      <c r="AE59">
        <v>3.6120000000000001</v>
      </c>
      <c r="AF59">
        <v>3.169</v>
      </c>
      <c r="AG59">
        <v>3.234</v>
      </c>
      <c r="AH59">
        <v>4.1079999999999997</v>
      </c>
      <c r="AI59">
        <v>5.1680000000000001</v>
      </c>
      <c r="AJ59">
        <v>0.60499999999999998</v>
      </c>
      <c r="AK59">
        <v>4.3920000000000003</v>
      </c>
      <c r="AL59">
        <v>6.2279999999999998</v>
      </c>
      <c r="AM59">
        <v>3.3639999999999999</v>
      </c>
      <c r="AN59">
        <v>4.5259999999999998</v>
      </c>
      <c r="AO59">
        <v>3.1909999999999998</v>
      </c>
      <c r="AP59">
        <v>2.8660000000000001</v>
      </c>
    </row>
    <row r="60" spans="1:42" x14ac:dyDescent="0.2">
      <c r="A60" t="s">
        <v>219</v>
      </c>
      <c r="B60">
        <v>1.6220000000000001</v>
      </c>
      <c r="C60">
        <v>1.335</v>
      </c>
      <c r="D60">
        <v>2.302</v>
      </c>
      <c r="E60">
        <v>2.2949999999999999</v>
      </c>
      <c r="F60">
        <v>1.554</v>
      </c>
      <c r="G60">
        <v>2.1110000000000002</v>
      </c>
      <c r="H60">
        <v>5.8999999999999997E-2</v>
      </c>
      <c r="I60">
        <v>-1.4999999999999999E-2</v>
      </c>
      <c r="J60">
        <v>1.6910000000000001</v>
      </c>
      <c r="K60">
        <v>1.7070000000000001</v>
      </c>
      <c r="L60">
        <v>1.8979999999999999</v>
      </c>
      <c r="M60">
        <v>1.9850000000000001</v>
      </c>
      <c r="N60">
        <v>1.3440000000000001</v>
      </c>
      <c r="O60">
        <v>1.3480000000000001</v>
      </c>
      <c r="P60">
        <v>1.4830000000000001</v>
      </c>
      <c r="Q60">
        <v>1.6619999999999999</v>
      </c>
      <c r="R60">
        <v>1.3779999999999999</v>
      </c>
      <c r="S60">
        <v>2.9449999999999998</v>
      </c>
      <c r="T60">
        <v>2.7629999999999999</v>
      </c>
      <c r="U60">
        <v>3.2149999999999999</v>
      </c>
      <c r="V60">
        <v>2.9470000000000001</v>
      </c>
      <c r="W60">
        <v>3.1760000000000002</v>
      </c>
      <c r="X60">
        <v>2.9180000000000001</v>
      </c>
      <c r="Y60">
        <v>0.82699999999999996</v>
      </c>
      <c r="Z60">
        <v>0.29199999999999998</v>
      </c>
      <c r="AA60">
        <v>3.9940000000000002</v>
      </c>
      <c r="AB60">
        <v>4.1520000000000001</v>
      </c>
      <c r="AC60">
        <v>5.5919999999999996</v>
      </c>
      <c r="AD60">
        <v>6.069</v>
      </c>
      <c r="AE60">
        <v>3.7429999999999999</v>
      </c>
      <c r="AF60">
        <v>3.2770000000000001</v>
      </c>
      <c r="AG60">
        <v>3.3460000000000001</v>
      </c>
      <c r="AH60">
        <v>4.28</v>
      </c>
      <c r="AI60">
        <v>5.3460000000000001</v>
      </c>
      <c r="AJ60">
        <v>0.753</v>
      </c>
      <c r="AK60">
        <v>4.4560000000000004</v>
      </c>
      <c r="AL60">
        <v>6.31</v>
      </c>
      <c r="AM60">
        <v>3.4870000000000001</v>
      </c>
      <c r="AN60">
        <v>4.726</v>
      </c>
      <c r="AO60">
        <v>3.2149999999999999</v>
      </c>
      <c r="AP60">
        <v>2.9470000000000001</v>
      </c>
    </row>
    <row r="61" spans="1:42" x14ac:dyDescent="0.2">
      <c r="A61" t="s">
        <v>220</v>
      </c>
      <c r="B61">
        <v>1.64</v>
      </c>
      <c r="C61">
        <v>1.385</v>
      </c>
      <c r="D61">
        <v>2.3340000000000001</v>
      </c>
      <c r="E61">
        <v>2.3239999999999998</v>
      </c>
      <c r="F61">
        <v>1.591</v>
      </c>
      <c r="G61">
        <v>2.157</v>
      </c>
      <c r="H61">
        <v>6.2E-2</v>
      </c>
      <c r="I61">
        <v>-1.0999999999999999E-2</v>
      </c>
      <c r="J61">
        <v>1.712</v>
      </c>
      <c r="K61">
        <v>1.728</v>
      </c>
      <c r="L61">
        <v>1.923</v>
      </c>
      <c r="M61">
        <v>2.008</v>
      </c>
      <c r="N61">
        <v>1.3979999999999999</v>
      </c>
      <c r="O61">
        <v>1.403</v>
      </c>
      <c r="P61">
        <v>1.548</v>
      </c>
      <c r="Q61">
        <v>1.73</v>
      </c>
      <c r="R61">
        <v>1.3660000000000001</v>
      </c>
      <c r="S61">
        <v>3.0379999999999998</v>
      </c>
      <c r="T61">
        <v>2.8119999999999998</v>
      </c>
      <c r="U61">
        <v>3.238</v>
      </c>
      <c r="V61">
        <v>3.028</v>
      </c>
      <c r="W61">
        <v>3.23</v>
      </c>
      <c r="X61">
        <v>2.956</v>
      </c>
      <c r="Y61">
        <v>0.85599999999999998</v>
      </c>
      <c r="Z61">
        <v>0.32100000000000001</v>
      </c>
      <c r="AA61">
        <v>4.0430000000000001</v>
      </c>
      <c r="AB61">
        <v>4.2050000000000001</v>
      </c>
      <c r="AC61">
        <v>5.6580000000000004</v>
      </c>
      <c r="AD61">
        <v>6.12</v>
      </c>
      <c r="AE61">
        <v>3.871</v>
      </c>
      <c r="AF61">
        <v>3.3839999999999999</v>
      </c>
      <c r="AG61">
        <v>3.4590000000000001</v>
      </c>
      <c r="AH61">
        <v>4.452</v>
      </c>
      <c r="AI61">
        <v>5.5229999999999997</v>
      </c>
      <c r="AJ61">
        <v>0.90600000000000003</v>
      </c>
      <c r="AK61">
        <v>4.5190000000000001</v>
      </c>
      <c r="AL61">
        <v>6.3890000000000002</v>
      </c>
      <c r="AM61">
        <v>3.61</v>
      </c>
      <c r="AN61">
        <v>4.9260000000000002</v>
      </c>
      <c r="AO61">
        <v>3.238</v>
      </c>
      <c r="AP61">
        <v>3.028</v>
      </c>
    </row>
    <row r="62" spans="1:42" x14ac:dyDescent="0.2">
      <c r="A62" t="s">
        <v>221</v>
      </c>
      <c r="B62">
        <v>1.6579999999999999</v>
      </c>
      <c r="C62">
        <v>1.4350000000000001</v>
      </c>
      <c r="D62">
        <v>2.3650000000000002</v>
      </c>
      <c r="E62">
        <v>2.3530000000000002</v>
      </c>
      <c r="F62">
        <v>1.627</v>
      </c>
      <c r="G62">
        <v>2.202</v>
      </c>
      <c r="H62">
        <v>6.5000000000000002E-2</v>
      </c>
      <c r="I62">
        <v>-8.0000000000000002E-3</v>
      </c>
      <c r="J62">
        <v>1.7330000000000001</v>
      </c>
      <c r="K62">
        <v>1.75</v>
      </c>
      <c r="L62">
        <v>1.948</v>
      </c>
      <c r="M62">
        <v>2.0310000000000001</v>
      </c>
      <c r="N62">
        <v>1.4530000000000001</v>
      </c>
      <c r="O62">
        <v>1.458</v>
      </c>
      <c r="P62">
        <v>1.6140000000000001</v>
      </c>
      <c r="Q62">
        <v>1.798</v>
      </c>
      <c r="R62">
        <v>1.3540000000000001</v>
      </c>
      <c r="S62">
        <v>3.13</v>
      </c>
      <c r="T62">
        <v>2.8610000000000002</v>
      </c>
      <c r="U62">
        <v>3.26</v>
      </c>
      <c r="V62">
        <v>3.1070000000000002</v>
      </c>
      <c r="W62">
        <v>3.2839999999999998</v>
      </c>
      <c r="X62">
        <v>2.9950000000000001</v>
      </c>
      <c r="Y62">
        <v>0.88400000000000001</v>
      </c>
      <c r="Z62">
        <v>0.35099999999999998</v>
      </c>
      <c r="AA62">
        <v>4.0910000000000002</v>
      </c>
      <c r="AB62">
        <v>4.2590000000000003</v>
      </c>
      <c r="AC62">
        <v>5.7229999999999999</v>
      </c>
      <c r="AD62">
        <v>6.17</v>
      </c>
      <c r="AE62">
        <v>3.9940000000000002</v>
      </c>
      <c r="AF62">
        <v>3.4910000000000001</v>
      </c>
      <c r="AG62">
        <v>3.5710000000000002</v>
      </c>
      <c r="AH62">
        <v>4.6239999999999997</v>
      </c>
      <c r="AI62">
        <v>5.6980000000000004</v>
      </c>
      <c r="AJ62">
        <v>1.0640000000000001</v>
      </c>
      <c r="AK62">
        <v>4.5819999999999999</v>
      </c>
      <c r="AL62">
        <v>6.4649999999999999</v>
      </c>
      <c r="AM62">
        <v>3.734</v>
      </c>
      <c r="AN62">
        <v>5.1260000000000003</v>
      </c>
      <c r="AO62">
        <v>3.26</v>
      </c>
      <c r="AP62">
        <v>3.1070000000000002</v>
      </c>
    </row>
    <row r="63" spans="1:42" x14ac:dyDescent="0.2">
      <c r="A63" t="s">
        <v>222</v>
      </c>
      <c r="B63">
        <v>1.675</v>
      </c>
      <c r="C63">
        <v>1.4850000000000001</v>
      </c>
      <c r="D63">
        <v>2.3959999999999999</v>
      </c>
      <c r="E63">
        <v>2.3809999999999998</v>
      </c>
      <c r="F63">
        <v>1.663</v>
      </c>
      <c r="G63">
        <v>2.2469999999999999</v>
      </c>
      <c r="H63">
        <v>6.9000000000000006E-2</v>
      </c>
      <c r="I63">
        <v>-4.0000000000000001E-3</v>
      </c>
      <c r="J63">
        <v>1.7529999999999999</v>
      </c>
      <c r="K63">
        <v>1.7709999999999999</v>
      </c>
      <c r="L63">
        <v>1.9710000000000001</v>
      </c>
      <c r="M63">
        <v>2.0529999999999999</v>
      </c>
      <c r="N63">
        <v>1.5069999999999999</v>
      </c>
      <c r="O63">
        <v>1.5129999999999999</v>
      </c>
      <c r="P63">
        <v>1.679</v>
      </c>
      <c r="Q63">
        <v>1.8660000000000001</v>
      </c>
      <c r="R63">
        <v>1.343</v>
      </c>
      <c r="S63">
        <v>3.22</v>
      </c>
      <c r="T63">
        <v>2.9089999999999998</v>
      </c>
      <c r="U63">
        <v>3.2810000000000001</v>
      </c>
      <c r="V63">
        <v>3.1859999999999999</v>
      </c>
      <c r="W63">
        <v>3.3370000000000002</v>
      </c>
      <c r="X63">
        <v>3.0350000000000001</v>
      </c>
      <c r="Y63">
        <v>0.91300000000000003</v>
      </c>
      <c r="Z63">
        <v>0.38100000000000001</v>
      </c>
      <c r="AA63">
        <v>4.1379999999999999</v>
      </c>
      <c r="AB63">
        <v>4.3109999999999999</v>
      </c>
      <c r="AC63">
        <v>5.7859999999999996</v>
      </c>
      <c r="AD63">
        <v>6.2190000000000003</v>
      </c>
      <c r="AE63">
        <v>4.1130000000000004</v>
      </c>
      <c r="AF63">
        <v>3.5979999999999999</v>
      </c>
      <c r="AG63">
        <v>3.6840000000000002</v>
      </c>
      <c r="AH63">
        <v>4.7960000000000003</v>
      </c>
      <c r="AI63">
        <v>5.8719999999999999</v>
      </c>
      <c r="AJ63">
        <v>1.2270000000000001</v>
      </c>
      <c r="AK63">
        <v>4.6440000000000001</v>
      </c>
      <c r="AL63">
        <v>6.5389999999999997</v>
      </c>
      <c r="AM63">
        <v>3.8580000000000001</v>
      </c>
      <c r="AN63">
        <v>5.3259999999999996</v>
      </c>
      <c r="AO63">
        <v>3.2810000000000001</v>
      </c>
      <c r="AP63">
        <v>3.1859999999999999</v>
      </c>
    </row>
    <row r="64" spans="1:42" x14ac:dyDescent="0.2">
      <c r="A64" t="s">
        <v>223</v>
      </c>
      <c r="B64">
        <v>1.6919999999999999</v>
      </c>
      <c r="C64">
        <v>1.5349999999999999</v>
      </c>
      <c r="D64">
        <v>2.4260000000000002</v>
      </c>
      <c r="E64">
        <v>2.4089999999999998</v>
      </c>
      <c r="F64">
        <v>1.7</v>
      </c>
      <c r="G64">
        <v>2.2919999999999998</v>
      </c>
      <c r="H64">
        <v>7.1999999999999995E-2</v>
      </c>
      <c r="I64">
        <v>0</v>
      </c>
      <c r="J64">
        <v>1.774</v>
      </c>
      <c r="K64">
        <v>1.792</v>
      </c>
      <c r="L64">
        <v>1.9950000000000001</v>
      </c>
      <c r="M64">
        <v>2.0750000000000002</v>
      </c>
      <c r="N64">
        <v>1.5620000000000001</v>
      </c>
      <c r="O64">
        <v>1.569</v>
      </c>
      <c r="P64">
        <v>1.7450000000000001</v>
      </c>
      <c r="Q64">
        <v>1.9339999999999999</v>
      </c>
      <c r="R64">
        <v>1.3320000000000001</v>
      </c>
      <c r="S64">
        <v>3.3079999999999998</v>
      </c>
      <c r="T64">
        <v>2.956</v>
      </c>
      <c r="U64">
        <v>3.302</v>
      </c>
      <c r="V64">
        <v>3.2629999999999999</v>
      </c>
      <c r="W64">
        <v>3.3889999999999998</v>
      </c>
      <c r="X64">
        <v>3.0750000000000002</v>
      </c>
      <c r="Y64">
        <v>0.94199999999999995</v>
      </c>
      <c r="Z64">
        <v>0.41299999999999998</v>
      </c>
      <c r="AA64">
        <v>4.1849999999999996</v>
      </c>
      <c r="AB64">
        <v>4.3630000000000004</v>
      </c>
      <c r="AC64">
        <v>5.8460000000000001</v>
      </c>
      <c r="AD64">
        <v>6.266</v>
      </c>
      <c r="AE64">
        <v>4.2279999999999998</v>
      </c>
      <c r="AF64">
        <v>3.7040000000000002</v>
      </c>
      <c r="AG64">
        <v>3.7970000000000002</v>
      </c>
      <c r="AH64">
        <v>4.9669999999999996</v>
      </c>
      <c r="AI64">
        <v>6.0449999999999999</v>
      </c>
      <c r="AJ64">
        <v>1.3939999999999999</v>
      </c>
      <c r="AK64">
        <v>4.7060000000000004</v>
      </c>
      <c r="AL64">
        <v>6.6109999999999998</v>
      </c>
      <c r="AM64">
        <v>3.9820000000000002</v>
      </c>
      <c r="AN64">
        <v>5.5259999999999998</v>
      </c>
      <c r="AO64">
        <v>3.302</v>
      </c>
      <c r="AP64">
        <v>3.2629999999999999</v>
      </c>
    </row>
    <row r="65" spans="1:42" x14ac:dyDescent="0.2">
      <c r="A65" t="s">
        <v>224</v>
      </c>
      <c r="B65">
        <v>1.708</v>
      </c>
      <c r="C65">
        <v>1.5860000000000001</v>
      </c>
      <c r="D65">
        <v>2.4550000000000001</v>
      </c>
      <c r="E65">
        <v>2.4359999999999999</v>
      </c>
      <c r="F65">
        <v>1.7350000000000001</v>
      </c>
      <c r="G65">
        <v>2.3359999999999999</v>
      </c>
      <c r="H65">
        <v>7.5999999999999998E-2</v>
      </c>
      <c r="I65">
        <v>5.0000000000000001E-3</v>
      </c>
      <c r="J65">
        <v>1.7929999999999999</v>
      </c>
      <c r="K65">
        <v>1.8129999999999999</v>
      </c>
      <c r="L65">
        <v>2.0179999999999998</v>
      </c>
      <c r="M65">
        <v>2.097</v>
      </c>
      <c r="N65">
        <v>1.6160000000000001</v>
      </c>
      <c r="O65">
        <v>1.625</v>
      </c>
      <c r="P65">
        <v>1.8109999999999999</v>
      </c>
      <c r="Q65">
        <v>2.0019999999999998</v>
      </c>
      <c r="R65">
        <v>1.3220000000000001</v>
      </c>
      <c r="S65">
        <v>3.395</v>
      </c>
      <c r="T65">
        <v>3.0019999999999998</v>
      </c>
      <c r="U65">
        <v>3.3220000000000001</v>
      </c>
      <c r="V65">
        <v>3.34</v>
      </c>
      <c r="W65">
        <v>3.44</v>
      </c>
      <c r="X65">
        <v>3.117</v>
      </c>
      <c r="Y65">
        <v>0.97099999999999997</v>
      </c>
      <c r="Z65">
        <v>0.44500000000000001</v>
      </c>
      <c r="AA65">
        <v>4.2320000000000002</v>
      </c>
      <c r="AB65">
        <v>4.415</v>
      </c>
      <c r="AC65">
        <v>5.9050000000000002</v>
      </c>
      <c r="AD65">
        <v>6.3109999999999999</v>
      </c>
      <c r="AE65">
        <v>4.3390000000000004</v>
      </c>
      <c r="AF65">
        <v>3.8109999999999999</v>
      </c>
      <c r="AG65">
        <v>3.9089999999999998</v>
      </c>
      <c r="AH65">
        <v>5.1379999999999999</v>
      </c>
      <c r="AI65">
        <v>6.2160000000000002</v>
      </c>
      <c r="AJ65">
        <v>1.5640000000000001</v>
      </c>
      <c r="AK65">
        <v>4.7670000000000003</v>
      </c>
      <c r="AL65">
        <v>6.68</v>
      </c>
      <c r="AM65">
        <v>4.1059999999999999</v>
      </c>
      <c r="AN65">
        <v>5.726</v>
      </c>
      <c r="AO65">
        <v>3.3220000000000001</v>
      </c>
      <c r="AP65">
        <v>3.34</v>
      </c>
    </row>
    <row r="66" spans="1:42" x14ac:dyDescent="0.2">
      <c r="A66" t="s">
        <v>225</v>
      </c>
      <c r="B66">
        <v>1.7250000000000001</v>
      </c>
      <c r="C66">
        <v>1.6359999999999999</v>
      </c>
      <c r="D66">
        <v>2.484</v>
      </c>
      <c r="E66">
        <v>2.4630000000000001</v>
      </c>
      <c r="F66">
        <v>1.7709999999999999</v>
      </c>
      <c r="G66">
        <v>2.379</v>
      </c>
      <c r="H66">
        <v>7.9000000000000001E-2</v>
      </c>
      <c r="I66">
        <v>8.9999999999999993E-3</v>
      </c>
      <c r="J66">
        <v>1.8129999999999999</v>
      </c>
      <c r="K66">
        <v>1.833</v>
      </c>
      <c r="L66">
        <v>2.04</v>
      </c>
      <c r="M66">
        <v>2.1179999999999999</v>
      </c>
      <c r="N66">
        <v>1.671</v>
      </c>
      <c r="O66">
        <v>1.68</v>
      </c>
      <c r="P66">
        <v>1.8779999999999999</v>
      </c>
      <c r="Q66">
        <v>2.069</v>
      </c>
      <c r="R66">
        <v>1.3129999999999999</v>
      </c>
      <c r="S66">
        <v>3.48</v>
      </c>
      <c r="T66">
        <v>3.0459999999999998</v>
      </c>
      <c r="U66">
        <v>3.3410000000000002</v>
      </c>
      <c r="V66">
        <v>3.415</v>
      </c>
      <c r="W66">
        <v>3.4910000000000001</v>
      </c>
      <c r="X66">
        <v>3.1589999999999998</v>
      </c>
      <c r="Y66">
        <v>1</v>
      </c>
      <c r="Z66">
        <v>0.47799999999999998</v>
      </c>
      <c r="AA66">
        <v>4.2779999999999996</v>
      </c>
      <c r="AB66">
        <v>4.4669999999999996</v>
      </c>
      <c r="AC66">
        <v>5.9610000000000003</v>
      </c>
      <c r="AD66">
        <v>6.3550000000000004</v>
      </c>
      <c r="AE66">
        <v>4.4470000000000001</v>
      </c>
      <c r="AF66">
        <v>3.9169999999999998</v>
      </c>
      <c r="AG66">
        <v>4.0209999999999999</v>
      </c>
      <c r="AH66">
        <v>5.3079999999999998</v>
      </c>
      <c r="AI66">
        <v>6.3849999999999998</v>
      </c>
      <c r="AJ66">
        <v>1.7370000000000001</v>
      </c>
      <c r="AK66">
        <v>4.8280000000000003</v>
      </c>
      <c r="AL66">
        <v>6.7480000000000002</v>
      </c>
      <c r="AM66">
        <v>4.2300000000000004</v>
      </c>
      <c r="AN66">
        <v>5.9240000000000004</v>
      </c>
      <c r="AO66">
        <v>3.3410000000000002</v>
      </c>
      <c r="AP66">
        <v>3.415</v>
      </c>
    </row>
    <row r="67" spans="1:42" x14ac:dyDescent="0.2">
      <c r="A67" t="s">
        <v>226</v>
      </c>
      <c r="B67">
        <v>1.7410000000000001</v>
      </c>
      <c r="C67">
        <v>1.6850000000000001</v>
      </c>
      <c r="D67">
        <v>2.512</v>
      </c>
      <c r="E67">
        <v>2.4889999999999999</v>
      </c>
      <c r="F67">
        <v>1.8069999999999999</v>
      </c>
      <c r="G67">
        <v>2.423</v>
      </c>
      <c r="H67">
        <v>8.3000000000000004E-2</v>
      </c>
      <c r="I67">
        <v>1.4E-2</v>
      </c>
      <c r="J67">
        <v>1.833</v>
      </c>
      <c r="K67">
        <v>1.8540000000000001</v>
      </c>
      <c r="L67">
        <v>2.0630000000000002</v>
      </c>
      <c r="M67">
        <v>2.1389999999999998</v>
      </c>
      <c r="N67">
        <v>1.726</v>
      </c>
      <c r="O67">
        <v>1.736</v>
      </c>
      <c r="P67">
        <v>1.944</v>
      </c>
      <c r="Q67">
        <v>2.137</v>
      </c>
      <c r="R67">
        <v>1.304</v>
      </c>
      <c r="S67">
        <v>3.5640000000000001</v>
      </c>
      <c r="T67">
        <v>3.0910000000000002</v>
      </c>
      <c r="U67">
        <v>3.36</v>
      </c>
      <c r="V67">
        <v>3.49</v>
      </c>
      <c r="W67">
        <v>3.54</v>
      </c>
      <c r="X67">
        <v>3.2010000000000001</v>
      </c>
      <c r="Y67">
        <v>1.0289999999999999</v>
      </c>
      <c r="Z67">
        <v>0.51200000000000001</v>
      </c>
      <c r="AA67">
        <v>4.3230000000000004</v>
      </c>
      <c r="AB67">
        <v>4.5170000000000003</v>
      </c>
      <c r="AC67">
        <v>6.016</v>
      </c>
      <c r="AD67">
        <v>6.3979999999999997</v>
      </c>
      <c r="AE67">
        <v>4.5510000000000002</v>
      </c>
      <c r="AF67">
        <v>4.0229999999999997</v>
      </c>
      <c r="AG67">
        <v>4.1340000000000003</v>
      </c>
      <c r="AH67">
        <v>5.4770000000000003</v>
      </c>
      <c r="AI67">
        <v>6.5519999999999996</v>
      </c>
      <c r="AJ67">
        <v>1.9119999999999999</v>
      </c>
      <c r="AK67">
        <v>4.8890000000000002</v>
      </c>
      <c r="AL67">
        <v>6.8129999999999997</v>
      </c>
      <c r="AM67">
        <v>4.3550000000000004</v>
      </c>
      <c r="AN67">
        <v>6.1219999999999999</v>
      </c>
      <c r="AO67">
        <v>3.36</v>
      </c>
      <c r="AP67">
        <v>3.49</v>
      </c>
    </row>
    <row r="68" spans="1:42" x14ac:dyDescent="0.2">
      <c r="A68" t="s">
        <v>227</v>
      </c>
      <c r="B68">
        <v>1.7569999999999999</v>
      </c>
      <c r="C68">
        <v>1.7350000000000001</v>
      </c>
      <c r="D68">
        <v>2.54</v>
      </c>
      <c r="E68">
        <v>2.5150000000000001</v>
      </c>
      <c r="F68">
        <v>1.8420000000000001</v>
      </c>
      <c r="G68">
        <v>2.4660000000000002</v>
      </c>
      <c r="H68">
        <v>8.5999999999999993E-2</v>
      </c>
      <c r="I68">
        <v>1.7999999999999999E-2</v>
      </c>
      <c r="J68">
        <v>1.8520000000000001</v>
      </c>
      <c r="K68">
        <v>1.8740000000000001</v>
      </c>
      <c r="L68">
        <v>2.0840000000000001</v>
      </c>
      <c r="M68">
        <v>2.1589999999999998</v>
      </c>
      <c r="N68">
        <v>1.7809999999999999</v>
      </c>
      <c r="O68">
        <v>1.792</v>
      </c>
      <c r="P68">
        <v>2.0099999999999998</v>
      </c>
      <c r="Q68">
        <v>2.2050000000000001</v>
      </c>
      <c r="R68">
        <v>1.296</v>
      </c>
      <c r="S68">
        <v>3.6459999999999999</v>
      </c>
      <c r="T68">
        <v>3.1339999999999999</v>
      </c>
      <c r="U68">
        <v>3.3780000000000001</v>
      </c>
      <c r="V68">
        <v>3.5640000000000001</v>
      </c>
      <c r="W68">
        <v>3.589</v>
      </c>
      <c r="X68">
        <v>3.2440000000000002</v>
      </c>
      <c r="Y68">
        <v>1.0580000000000001</v>
      </c>
      <c r="Z68">
        <v>0.54600000000000004</v>
      </c>
      <c r="AA68">
        <v>4.3680000000000003</v>
      </c>
      <c r="AB68">
        <v>4.5679999999999996</v>
      </c>
      <c r="AC68">
        <v>6.07</v>
      </c>
      <c r="AD68">
        <v>6.4390000000000001</v>
      </c>
      <c r="AE68">
        <v>4.6509999999999998</v>
      </c>
      <c r="AF68">
        <v>4.1280000000000001</v>
      </c>
      <c r="AG68">
        <v>4.2460000000000004</v>
      </c>
      <c r="AH68">
        <v>5.6449999999999996</v>
      </c>
      <c r="AI68">
        <v>6.7169999999999996</v>
      </c>
      <c r="AJ68">
        <v>2.09</v>
      </c>
      <c r="AK68">
        <v>4.9489999999999998</v>
      </c>
      <c r="AL68">
        <v>6.875</v>
      </c>
      <c r="AM68">
        <v>4.4800000000000004</v>
      </c>
      <c r="AN68">
        <v>6.319</v>
      </c>
      <c r="AO68">
        <v>3.3780000000000001</v>
      </c>
      <c r="AP68">
        <v>3.5640000000000001</v>
      </c>
    </row>
    <row r="69" spans="1:42" x14ac:dyDescent="0.2">
      <c r="A69" t="s">
        <v>228</v>
      </c>
      <c r="B69">
        <v>1.772</v>
      </c>
      <c r="C69">
        <v>1.7849999999999999</v>
      </c>
      <c r="D69">
        <v>2.5670000000000002</v>
      </c>
      <c r="E69">
        <v>2.54</v>
      </c>
      <c r="F69">
        <v>1.877</v>
      </c>
      <c r="G69">
        <v>2.508</v>
      </c>
      <c r="H69">
        <v>0.09</v>
      </c>
      <c r="I69">
        <v>2.3E-2</v>
      </c>
      <c r="J69">
        <v>1.871</v>
      </c>
      <c r="K69">
        <v>1.893</v>
      </c>
      <c r="L69">
        <v>2.1059999999999999</v>
      </c>
      <c r="M69">
        <v>2.1789999999999998</v>
      </c>
      <c r="N69">
        <v>1.835</v>
      </c>
      <c r="O69">
        <v>1.8480000000000001</v>
      </c>
      <c r="P69">
        <v>2.0760000000000001</v>
      </c>
      <c r="Q69">
        <v>2.2730000000000001</v>
      </c>
      <c r="R69">
        <v>1.288</v>
      </c>
      <c r="S69">
        <v>3.7269999999999999</v>
      </c>
      <c r="T69">
        <v>3.1760000000000002</v>
      </c>
      <c r="U69">
        <v>3.395</v>
      </c>
      <c r="V69">
        <v>3.6360000000000001</v>
      </c>
      <c r="W69">
        <v>3.637</v>
      </c>
      <c r="X69">
        <v>3.2879999999999998</v>
      </c>
      <c r="Y69">
        <v>1.0880000000000001</v>
      </c>
      <c r="Z69">
        <v>0.58099999999999996</v>
      </c>
      <c r="AA69">
        <v>4.4130000000000003</v>
      </c>
      <c r="AB69">
        <v>4.6180000000000003</v>
      </c>
      <c r="AC69">
        <v>6.1210000000000004</v>
      </c>
      <c r="AD69">
        <v>6.4790000000000001</v>
      </c>
      <c r="AE69">
        <v>4.7489999999999997</v>
      </c>
      <c r="AF69">
        <v>4.234</v>
      </c>
      <c r="AG69">
        <v>4.3579999999999997</v>
      </c>
      <c r="AH69">
        <v>5.8129999999999997</v>
      </c>
      <c r="AI69">
        <v>6.8810000000000002</v>
      </c>
      <c r="AJ69">
        <v>2.27</v>
      </c>
      <c r="AK69">
        <v>5.0090000000000003</v>
      </c>
      <c r="AL69">
        <v>6.9359999999999999</v>
      </c>
      <c r="AM69">
        <v>4.6040000000000001</v>
      </c>
      <c r="AN69">
        <v>6.5149999999999997</v>
      </c>
      <c r="AO69">
        <v>3.395</v>
      </c>
      <c r="AP69">
        <v>3.6360000000000001</v>
      </c>
    </row>
    <row r="70" spans="1:42" x14ac:dyDescent="0.2">
      <c r="A70" t="s">
        <v>229</v>
      </c>
      <c r="B70">
        <v>1.788</v>
      </c>
      <c r="C70">
        <v>1.835</v>
      </c>
      <c r="D70">
        <v>2.593</v>
      </c>
      <c r="E70">
        <v>2.5649999999999999</v>
      </c>
      <c r="F70">
        <v>1.9119999999999999</v>
      </c>
      <c r="G70">
        <v>2.5510000000000002</v>
      </c>
      <c r="H70">
        <v>9.4E-2</v>
      </c>
      <c r="I70">
        <v>2.8000000000000001E-2</v>
      </c>
      <c r="J70">
        <v>1.89</v>
      </c>
      <c r="K70">
        <v>1.913</v>
      </c>
      <c r="L70">
        <v>2.1269999999999998</v>
      </c>
      <c r="M70">
        <v>2.1989999999999998</v>
      </c>
      <c r="N70">
        <v>1.89</v>
      </c>
      <c r="O70">
        <v>1.9039999999999999</v>
      </c>
      <c r="P70">
        <v>2.1429999999999998</v>
      </c>
      <c r="Q70">
        <v>2.34</v>
      </c>
      <c r="R70">
        <v>1.2809999999999999</v>
      </c>
      <c r="S70">
        <v>3.806</v>
      </c>
      <c r="T70">
        <v>3.218</v>
      </c>
      <c r="U70">
        <v>3.4119999999999999</v>
      </c>
      <c r="V70">
        <v>3.7080000000000002</v>
      </c>
      <c r="W70">
        <v>3.6840000000000002</v>
      </c>
      <c r="X70">
        <v>3.3319999999999999</v>
      </c>
      <c r="Y70">
        <v>1.117</v>
      </c>
      <c r="Z70">
        <v>0.61699999999999999</v>
      </c>
      <c r="AA70">
        <v>4.4569999999999999</v>
      </c>
      <c r="AB70">
        <v>4.6680000000000001</v>
      </c>
      <c r="AC70">
        <v>6.1710000000000003</v>
      </c>
      <c r="AD70">
        <v>6.5179999999999998</v>
      </c>
      <c r="AE70">
        <v>4.843</v>
      </c>
      <c r="AF70">
        <v>4.3390000000000004</v>
      </c>
      <c r="AG70">
        <v>4.4690000000000003</v>
      </c>
      <c r="AH70">
        <v>5.9790000000000001</v>
      </c>
      <c r="AI70">
        <v>7.0419999999999998</v>
      </c>
      <c r="AJ70">
        <v>2.452</v>
      </c>
      <c r="AK70">
        <v>5.0679999999999996</v>
      </c>
      <c r="AL70">
        <v>6.9950000000000001</v>
      </c>
      <c r="AM70">
        <v>4.7290000000000001</v>
      </c>
      <c r="AN70">
        <v>6.71</v>
      </c>
      <c r="AO70">
        <v>3.4119999999999999</v>
      </c>
      <c r="AP70">
        <v>3.7080000000000002</v>
      </c>
    </row>
    <row r="71" spans="1:42" x14ac:dyDescent="0.2">
      <c r="A71" t="s">
        <v>230</v>
      </c>
      <c r="B71">
        <v>1.8029999999999999</v>
      </c>
      <c r="C71">
        <v>1.8839999999999999</v>
      </c>
      <c r="D71">
        <v>2.6190000000000002</v>
      </c>
      <c r="E71">
        <v>2.589</v>
      </c>
      <c r="F71">
        <v>1.9470000000000001</v>
      </c>
      <c r="G71">
        <v>2.593</v>
      </c>
      <c r="H71">
        <v>9.8000000000000004E-2</v>
      </c>
      <c r="I71">
        <v>3.4000000000000002E-2</v>
      </c>
      <c r="J71">
        <v>1.9079999999999999</v>
      </c>
      <c r="K71">
        <v>1.9319999999999999</v>
      </c>
      <c r="L71">
        <v>2.1469999999999998</v>
      </c>
      <c r="M71">
        <v>2.218</v>
      </c>
      <c r="N71">
        <v>1.9450000000000001</v>
      </c>
      <c r="O71">
        <v>1.96</v>
      </c>
      <c r="P71">
        <v>2.2090000000000001</v>
      </c>
      <c r="Q71">
        <v>2.407</v>
      </c>
      <c r="R71">
        <v>1.2749999999999999</v>
      </c>
      <c r="S71">
        <v>3.883</v>
      </c>
      <c r="T71">
        <v>3.258</v>
      </c>
      <c r="U71">
        <v>3.4289999999999998</v>
      </c>
      <c r="V71">
        <v>3.7789999999999999</v>
      </c>
      <c r="W71">
        <v>3.7309999999999999</v>
      </c>
      <c r="X71">
        <v>3.3759999999999999</v>
      </c>
      <c r="Y71">
        <v>1.147</v>
      </c>
      <c r="Z71">
        <v>0.65400000000000003</v>
      </c>
      <c r="AA71">
        <v>4.5010000000000003</v>
      </c>
      <c r="AB71">
        <v>4.7169999999999996</v>
      </c>
      <c r="AC71">
        <v>6.2190000000000003</v>
      </c>
      <c r="AD71">
        <v>6.5549999999999997</v>
      </c>
      <c r="AE71">
        <v>4.9340000000000002</v>
      </c>
      <c r="AF71">
        <v>4.444</v>
      </c>
      <c r="AG71">
        <v>4.5810000000000004</v>
      </c>
      <c r="AH71">
        <v>6.1440000000000001</v>
      </c>
      <c r="AI71">
        <v>7.202</v>
      </c>
      <c r="AJ71">
        <v>2.6349999999999998</v>
      </c>
      <c r="AK71">
        <v>5.1269999999999998</v>
      </c>
      <c r="AL71">
        <v>7.0519999999999996</v>
      </c>
      <c r="AM71">
        <v>4.8540000000000001</v>
      </c>
      <c r="AN71">
        <v>6.9029999999999996</v>
      </c>
      <c r="AO71">
        <v>3.4289999999999998</v>
      </c>
      <c r="AP71">
        <v>3.7789999999999999</v>
      </c>
    </row>
    <row r="72" spans="1:42" x14ac:dyDescent="0.2">
      <c r="A72" t="s">
        <v>231</v>
      </c>
      <c r="B72">
        <v>1.8169999999999999</v>
      </c>
      <c r="C72">
        <v>1.9330000000000001</v>
      </c>
      <c r="D72">
        <v>2.645</v>
      </c>
      <c r="E72">
        <v>2.613</v>
      </c>
      <c r="F72">
        <v>1.9810000000000001</v>
      </c>
      <c r="G72">
        <v>2.6339999999999999</v>
      </c>
      <c r="H72">
        <v>0.10199999999999999</v>
      </c>
      <c r="I72">
        <v>3.9E-2</v>
      </c>
      <c r="J72">
        <v>1.9259999999999999</v>
      </c>
      <c r="K72">
        <v>1.9510000000000001</v>
      </c>
      <c r="L72">
        <v>2.1669999999999998</v>
      </c>
      <c r="M72">
        <v>2.2370000000000001</v>
      </c>
      <c r="N72">
        <v>2</v>
      </c>
      <c r="O72">
        <v>2.016</v>
      </c>
      <c r="P72">
        <v>2.2749999999999999</v>
      </c>
      <c r="Q72">
        <v>2.4740000000000002</v>
      </c>
      <c r="R72">
        <v>1.2689999999999999</v>
      </c>
      <c r="S72">
        <v>3.96</v>
      </c>
      <c r="T72">
        <v>3.298</v>
      </c>
      <c r="U72">
        <v>3.4449999999999998</v>
      </c>
      <c r="V72">
        <v>3.8479999999999999</v>
      </c>
      <c r="W72">
        <v>3.7759999999999998</v>
      </c>
      <c r="X72">
        <v>3.42</v>
      </c>
      <c r="Y72">
        <v>1.177</v>
      </c>
      <c r="Z72">
        <v>0.69199999999999995</v>
      </c>
      <c r="AA72">
        <v>4.5439999999999996</v>
      </c>
      <c r="AB72">
        <v>4.766</v>
      </c>
      <c r="AC72">
        <v>6.266</v>
      </c>
      <c r="AD72">
        <v>6.5910000000000002</v>
      </c>
      <c r="AE72">
        <v>5.0229999999999997</v>
      </c>
      <c r="AF72">
        <v>4.548</v>
      </c>
      <c r="AG72">
        <v>4.6920000000000002</v>
      </c>
      <c r="AH72">
        <v>6.3070000000000004</v>
      </c>
      <c r="AI72">
        <v>7.359</v>
      </c>
      <c r="AJ72">
        <v>2.819</v>
      </c>
      <c r="AK72">
        <v>5.1859999999999999</v>
      </c>
      <c r="AL72">
        <v>7.1079999999999997</v>
      </c>
      <c r="AM72">
        <v>4.9790000000000001</v>
      </c>
      <c r="AN72">
        <v>7.0949999999999998</v>
      </c>
      <c r="AO72">
        <v>3.4449999999999998</v>
      </c>
      <c r="AP72">
        <v>3.8479999999999999</v>
      </c>
    </row>
    <row r="73" spans="1:42" x14ac:dyDescent="0.2">
      <c r="A73" t="s">
        <v>232</v>
      </c>
      <c r="B73">
        <v>1.8320000000000001</v>
      </c>
      <c r="C73">
        <v>1.982</v>
      </c>
      <c r="D73">
        <v>2.67</v>
      </c>
      <c r="E73">
        <v>2.6360000000000001</v>
      </c>
      <c r="F73">
        <v>2.016</v>
      </c>
      <c r="G73">
        <v>2.6749999999999998</v>
      </c>
      <c r="H73">
        <v>0.105</v>
      </c>
      <c r="I73">
        <v>4.4999999999999998E-2</v>
      </c>
      <c r="J73">
        <v>1.944</v>
      </c>
      <c r="K73">
        <v>1.97</v>
      </c>
      <c r="L73">
        <v>2.1869999999999998</v>
      </c>
      <c r="M73">
        <v>2.2559999999999998</v>
      </c>
      <c r="N73">
        <v>2.0550000000000002</v>
      </c>
      <c r="O73">
        <v>2.073</v>
      </c>
      <c r="P73">
        <v>2.3410000000000002</v>
      </c>
      <c r="Q73">
        <v>2.5409999999999999</v>
      </c>
      <c r="R73">
        <v>1.2629999999999999</v>
      </c>
      <c r="S73">
        <v>4.0350000000000001</v>
      </c>
      <c r="T73">
        <v>3.3370000000000002</v>
      </c>
      <c r="U73">
        <v>3.46</v>
      </c>
      <c r="V73">
        <v>3.9169999999999998</v>
      </c>
      <c r="W73">
        <v>3.8210000000000002</v>
      </c>
      <c r="X73">
        <v>3.4649999999999999</v>
      </c>
      <c r="Y73">
        <v>1.2070000000000001</v>
      </c>
      <c r="Z73">
        <v>0.73</v>
      </c>
      <c r="AA73">
        <v>4.5869999999999997</v>
      </c>
      <c r="AB73">
        <v>4.8150000000000004</v>
      </c>
      <c r="AC73">
        <v>6.3109999999999999</v>
      </c>
      <c r="AD73">
        <v>6.6260000000000003</v>
      </c>
      <c r="AE73">
        <v>5.1079999999999997</v>
      </c>
      <c r="AF73">
        <v>4.6520000000000001</v>
      </c>
      <c r="AG73">
        <v>4.8029999999999999</v>
      </c>
      <c r="AH73">
        <v>6.4690000000000003</v>
      </c>
      <c r="AI73">
        <v>7.5149999999999997</v>
      </c>
      <c r="AJ73">
        <v>3.004</v>
      </c>
      <c r="AK73">
        <v>5.2450000000000001</v>
      </c>
      <c r="AL73">
        <v>7.1609999999999996</v>
      </c>
      <c r="AM73">
        <v>5.1040000000000001</v>
      </c>
      <c r="AN73">
        <v>7.2859999999999996</v>
      </c>
      <c r="AO73">
        <v>3.46</v>
      </c>
      <c r="AP73">
        <v>3.9169999999999998</v>
      </c>
    </row>
    <row r="74" spans="1:42" x14ac:dyDescent="0.2">
      <c r="A74" t="s">
        <v>233</v>
      </c>
      <c r="B74">
        <v>1.8460000000000001</v>
      </c>
      <c r="C74">
        <v>2.0310000000000001</v>
      </c>
      <c r="D74">
        <v>2.694</v>
      </c>
      <c r="E74">
        <v>2.6589999999999998</v>
      </c>
      <c r="F74">
        <v>2.0499999999999998</v>
      </c>
      <c r="G74">
        <v>2.7160000000000002</v>
      </c>
      <c r="H74">
        <v>0.109</v>
      </c>
      <c r="I74">
        <v>5.0999999999999997E-2</v>
      </c>
      <c r="J74">
        <v>1.962</v>
      </c>
      <c r="K74">
        <v>1.9890000000000001</v>
      </c>
      <c r="L74">
        <v>2.2069999999999999</v>
      </c>
      <c r="M74">
        <v>2.274</v>
      </c>
      <c r="N74">
        <v>2.11</v>
      </c>
      <c r="O74">
        <v>2.129</v>
      </c>
      <c r="P74">
        <v>2.407</v>
      </c>
      <c r="Q74">
        <v>2.6080000000000001</v>
      </c>
      <c r="R74">
        <v>1.258</v>
      </c>
      <c r="S74">
        <v>4.1079999999999997</v>
      </c>
      <c r="T74">
        <v>3.375</v>
      </c>
      <c r="U74">
        <v>3.4750000000000001</v>
      </c>
      <c r="V74">
        <v>3.984</v>
      </c>
      <c r="W74">
        <v>3.8650000000000002</v>
      </c>
      <c r="X74">
        <v>3.51</v>
      </c>
      <c r="Y74">
        <v>1.2370000000000001</v>
      </c>
      <c r="Z74">
        <v>0.76900000000000002</v>
      </c>
      <c r="AA74">
        <v>4.63</v>
      </c>
      <c r="AB74">
        <v>4.8630000000000004</v>
      </c>
      <c r="AC74">
        <v>6.3550000000000004</v>
      </c>
      <c r="AD74">
        <v>6.66</v>
      </c>
      <c r="AE74">
        <v>5.1909999999999998</v>
      </c>
      <c r="AF74">
        <v>4.7549999999999999</v>
      </c>
      <c r="AG74">
        <v>4.9139999999999997</v>
      </c>
      <c r="AH74">
        <v>6.63</v>
      </c>
      <c r="AI74">
        <v>7.6680000000000001</v>
      </c>
      <c r="AJ74">
        <v>3.1890000000000001</v>
      </c>
      <c r="AK74">
        <v>5.3029999999999999</v>
      </c>
      <c r="AL74">
        <v>7.2130000000000001</v>
      </c>
      <c r="AM74">
        <v>5.2290000000000001</v>
      </c>
      <c r="AN74">
        <v>7.4740000000000002</v>
      </c>
      <c r="AO74">
        <v>3.4750000000000001</v>
      </c>
      <c r="AP74">
        <v>3.984</v>
      </c>
    </row>
    <row r="75" spans="1:42" x14ac:dyDescent="0.2">
      <c r="A75" t="s">
        <v>234</v>
      </c>
      <c r="B75">
        <v>1.86</v>
      </c>
      <c r="C75">
        <v>2.08</v>
      </c>
      <c r="D75">
        <v>2.718</v>
      </c>
      <c r="E75">
        <v>2.6819999999999999</v>
      </c>
      <c r="F75">
        <v>2.0840000000000001</v>
      </c>
      <c r="G75">
        <v>2.7559999999999998</v>
      </c>
      <c r="H75">
        <v>0.113</v>
      </c>
      <c r="I75">
        <v>5.7000000000000002E-2</v>
      </c>
      <c r="J75">
        <v>1.98</v>
      </c>
      <c r="K75">
        <v>2.0070000000000001</v>
      </c>
      <c r="L75">
        <v>2.226</v>
      </c>
      <c r="M75">
        <v>2.2919999999999998</v>
      </c>
      <c r="N75">
        <v>2.1640000000000001</v>
      </c>
      <c r="O75">
        <v>2.1850000000000001</v>
      </c>
      <c r="P75">
        <v>2.4729999999999999</v>
      </c>
      <c r="Q75">
        <v>2.6749999999999998</v>
      </c>
      <c r="R75">
        <v>1.2529999999999999</v>
      </c>
      <c r="S75">
        <v>4.18</v>
      </c>
      <c r="T75">
        <v>3.4129999999999998</v>
      </c>
      <c r="U75">
        <v>3.49</v>
      </c>
      <c r="V75">
        <v>4.0510000000000002</v>
      </c>
      <c r="W75">
        <v>3.9079999999999999</v>
      </c>
      <c r="X75">
        <v>3.5550000000000002</v>
      </c>
      <c r="Y75">
        <v>1.2669999999999999</v>
      </c>
      <c r="Z75">
        <v>0.80800000000000005</v>
      </c>
      <c r="AA75">
        <v>4.6719999999999997</v>
      </c>
      <c r="AB75">
        <v>4.9109999999999996</v>
      </c>
      <c r="AC75">
        <v>6.3970000000000002</v>
      </c>
      <c r="AD75">
        <v>6.6929999999999996</v>
      </c>
      <c r="AE75">
        <v>5.2709999999999999</v>
      </c>
      <c r="AF75">
        <v>4.859</v>
      </c>
      <c r="AG75">
        <v>5.0250000000000004</v>
      </c>
      <c r="AH75">
        <v>6.7889999999999997</v>
      </c>
      <c r="AI75">
        <v>7.82</v>
      </c>
      <c r="AJ75">
        <v>3.3740000000000001</v>
      </c>
      <c r="AK75">
        <v>5.3609999999999998</v>
      </c>
      <c r="AL75">
        <v>7.2629999999999999</v>
      </c>
      <c r="AM75">
        <v>5.3529999999999998</v>
      </c>
      <c r="AN75">
        <v>7.6619999999999999</v>
      </c>
      <c r="AO75">
        <v>3.49</v>
      </c>
      <c r="AP75">
        <v>4.0510000000000002</v>
      </c>
    </row>
    <row r="76" spans="1:42" x14ac:dyDescent="0.2">
      <c r="A76" t="s">
        <v>235</v>
      </c>
      <c r="B76">
        <v>1.873</v>
      </c>
      <c r="C76">
        <v>2.1280000000000001</v>
      </c>
      <c r="D76">
        <v>2.742</v>
      </c>
      <c r="E76">
        <v>2.7040000000000002</v>
      </c>
      <c r="F76">
        <v>2.117</v>
      </c>
      <c r="G76">
        <v>2.7959999999999998</v>
      </c>
      <c r="H76">
        <v>0.11700000000000001</v>
      </c>
      <c r="I76">
        <v>6.3E-2</v>
      </c>
      <c r="J76">
        <v>1.9970000000000001</v>
      </c>
      <c r="K76">
        <v>2.0259999999999998</v>
      </c>
      <c r="L76">
        <v>2.2450000000000001</v>
      </c>
      <c r="M76">
        <v>2.3090000000000002</v>
      </c>
      <c r="N76">
        <v>2.2189999999999999</v>
      </c>
      <c r="O76">
        <v>2.2410000000000001</v>
      </c>
      <c r="P76">
        <v>2.5390000000000001</v>
      </c>
      <c r="Q76">
        <v>2.7410000000000001</v>
      </c>
      <c r="R76">
        <v>1.2490000000000001</v>
      </c>
      <c r="S76">
        <v>4.2510000000000003</v>
      </c>
      <c r="T76">
        <v>3.45</v>
      </c>
      <c r="U76">
        <v>3.504</v>
      </c>
      <c r="V76">
        <v>4.1159999999999997</v>
      </c>
      <c r="W76">
        <v>3.9510000000000001</v>
      </c>
      <c r="X76">
        <v>3.6</v>
      </c>
      <c r="Y76">
        <v>1.2969999999999999</v>
      </c>
      <c r="Z76">
        <v>0.84899999999999998</v>
      </c>
      <c r="AA76">
        <v>4.7140000000000004</v>
      </c>
      <c r="AB76">
        <v>4.9589999999999996</v>
      </c>
      <c r="AC76">
        <v>6.4379999999999997</v>
      </c>
      <c r="AD76">
        <v>6.7240000000000002</v>
      </c>
      <c r="AE76">
        <v>5.3479999999999999</v>
      </c>
      <c r="AF76">
        <v>4.9610000000000003</v>
      </c>
      <c r="AG76">
        <v>5.1349999999999998</v>
      </c>
      <c r="AH76">
        <v>6.9470000000000001</v>
      </c>
      <c r="AI76">
        <v>7.9690000000000003</v>
      </c>
      <c r="AJ76">
        <v>3.56</v>
      </c>
      <c r="AK76">
        <v>5.4180000000000001</v>
      </c>
      <c r="AL76">
        <v>7.3109999999999999</v>
      </c>
      <c r="AM76">
        <v>5.4779999999999998</v>
      </c>
      <c r="AN76">
        <v>7.8470000000000004</v>
      </c>
      <c r="AO76">
        <v>3.504</v>
      </c>
      <c r="AP76">
        <v>4.1159999999999997</v>
      </c>
    </row>
    <row r="77" spans="1:42" x14ac:dyDescent="0.2">
      <c r="A77" t="s">
        <v>236</v>
      </c>
      <c r="B77">
        <v>1.887</v>
      </c>
      <c r="C77">
        <v>2.177</v>
      </c>
      <c r="D77">
        <v>2.7650000000000001</v>
      </c>
      <c r="E77">
        <v>2.7250000000000001</v>
      </c>
      <c r="F77">
        <v>2.1509999999999998</v>
      </c>
      <c r="G77">
        <v>2.8359999999999999</v>
      </c>
      <c r="H77">
        <v>0.121</v>
      </c>
      <c r="I77">
        <v>6.9000000000000006E-2</v>
      </c>
      <c r="J77">
        <v>2.0139999999999998</v>
      </c>
      <c r="K77">
        <v>2.044</v>
      </c>
      <c r="L77">
        <v>2.2629999999999999</v>
      </c>
      <c r="M77">
        <v>2.327</v>
      </c>
      <c r="N77">
        <v>2.274</v>
      </c>
      <c r="O77">
        <v>2.2970000000000002</v>
      </c>
      <c r="P77">
        <v>2.6040000000000001</v>
      </c>
      <c r="Q77">
        <v>2.8069999999999999</v>
      </c>
      <c r="R77">
        <v>1.2450000000000001</v>
      </c>
      <c r="S77">
        <v>4.3209999999999997</v>
      </c>
      <c r="T77">
        <v>3.4860000000000002</v>
      </c>
      <c r="U77">
        <v>3.5169999999999999</v>
      </c>
      <c r="V77">
        <v>4.18</v>
      </c>
      <c r="W77">
        <v>3.992</v>
      </c>
      <c r="X77">
        <v>3.645</v>
      </c>
      <c r="Y77">
        <v>1.327</v>
      </c>
      <c r="Z77">
        <v>0.88900000000000001</v>
      </c>
      <c r="AA77">
        <v>4.7560000000000002</v>
      </c>
      <c r="AB77">
        <v>5.0060000000000002</v>
      </c>
      <c r="AC77">
        <v>6.4779999999999998</v>
      </c>
      <c r="AD77">
        <v>6.7549999999999999</v>
      </c>
      <c r="AE77">
        <v>5.423</v>
      </c>
      <c r="AF77">
        <v>5.0640000000000001</v>
      </c>
      <c r="AG77">
        <v>5.2450000000000001</v>
      </c>
      <c r="AH77">
        <v>7.1029999999999998</v>
      </c>
      <c r="AI77">
        <v>8.1159999999999997</v>
      </c>
      <c r="AJ77">
        <v>3.746</v>
      </c>
      <c r="AK77">
        <v>5.476</v>
      </c>
      <c r="AL77">
        <v>7.3579999999999997</v>
      </c>
      <c r="AM77">
        <v>5.6020000000000003</v>
      </c>
      <c r="AN77">
        <v>8.0310000000000006</v>
      </c>
      <c r="AO77">
        <v>3.5169999999999999</v>
      </c>
      <c r="AP77">
        <v>4.18</v>
      </c>
    </row>
    <row r="78" spans="1:42" x14ac:dyDescent="0.2">
      <c r="A78" t="s">
        <v>237</v>
      </c>
      <c r="B78">
        <v>1.9</v>
      </c>
      <c r="C78">
        <v>2.2250000000000001</v>
      </c>
      <c r="D78">
        <v>2.7869999999999999</v>
      </c>
      <c r="E78">
        <v>2.746</v>
      </c>
      <c r="F78">
        <v>2.1840000000000002</v>
      </c>
      <c r="G78">
        <v>2.875</v>
      </c>
      <c r="H78">
        <v>0.125</v>
      </c>
      <c r="I78">
        <v>7.5999999999999998E-2</v>
      </c>
      <c r="J78">
        <v>2.0310000000000001</v>
      </c>
      <c r="K78">
        <v>2.0619999999999998</v>
      </c>
      <c r="L78">
        <v>2.2810000000000001</v>
      </c>
      <c r="M78">
        <v>2.3439999999999999</v>
      </c>
      <c r="N78">
        <v>2.3279999999999998</v>
      </c>
      <c r="O78">
        <v>2.3530000000000002</v>
      </c>
      <c r="P78">
        <v>2.67</v>
      </c>
      <c r="Q78">
        <v>2.8719999999999999</v>
      </c>
      <c r="R78">
        <v>1.242</v>
      </c>
      <c r="S78">
        <v>4.3890000000000002</v>
      </c>
      <c r="T78">
        <v>3.5209999999999999</v>
      </c>
      <c r="U78">
        <v>3.53</v>
      </c>
      <c r="V78">
        <v>4.2439999999999998</v>
      </c>
      <c r="W78">
        <v>4.0330000000000004</v>
      </c>
      <c r="X78">
        <v>3.6890000000000001</v>
      </c>
      <c r="Y78">
        <v>1.3580000000000001</v>
      </c>
      <c r="Z78">
        <v>0.93100000000000005</v>
      </c>
      <c r="AA78">
        <v>4.7969999999999997</v>
      </c>
      <c r="AB78">
        <v>5.0529999999999999</v>
      </c>
      <c r="AC78">
        <v>6.5170000000000003</v>
      </c>
      <c r="AD78">
        <v>6.7850000000000001</v>
      </c>
      <c r="AE78">
        <v>5.4960000000000004</v>
      </c>
      <c r="AF78">
        <v>5.165</v>
      </c>
      <c r="AG78">
        <v>5.3540000000000001</v>
      </c>
      <c r="AH78">
        <v>7.2569999999999997</v>
      </c>
      <c r="AI78">
        <v>8.2609999999999992</v>
      </c>
      <c r="AJ78">
        <v>3.931</v>
      </c>
      <c r="AK78">
        <v>5.5330000000000004</v>
      </c>
      <c r="AL78">
        <v>7.4039999999999999</v>
      </c>
      <c r="AM78">
        <v>5.7270000000000003</v>
      </c>
      <c r="AN78">
        <v>8.2119999999999997</v>
      </c>
      <c r="AO78">
        <v>3.53</v>
      </c>
      <c r="AP78">
        <v>4.2439999999999998</v>
      </c>
    </row>
    <row r="79" spans="1:42" x14ac:dyDescent="0.2">
      <c r="A79" t="s">
        <v>238</v>
      </c>
      <c r="B79">
        <v>1.913</v>
      </c>
      <c r="C79">
        <v>2.2730000000000001</v>
      </c>
      <c r="D79">
        <v>2.81</v>
      </c>
      <c r="E79">
        <v>2.7669999999999999</v>
      </c>
      <c r="F79">
        <v>2.2170000000000001</v>
      </c>
      <c r="G79">
        <v>2.9140000000000001</v>
      </c>
      <c r="H79">
        <v>0.13</v>
      </c>
      <c r="I79">
        <v>8.2000000000000003E-2</v>
      </c>
      <c r="J79">
        <v>2.048</v>
      </c>
      <c r="K79">
        <v>2.0790000000000002</v>
      </c>
      <c r="L79">
        <v>2.2989999999999999</v>
      </c>
      <c r="M79">
        <v>2.36</v>
      </c>
      <c r="N79">
        <v>2.3820000000000001</v>
      </c>
      <c r="O79">
        <v>2.4079999999999999</v>
      </c>
      <c r="P79">
        <v>2.7349999999999999</v>
      </c>
      <c r="Q79">
        <v>2.9380000000000002</v>
      </c>
      <c r="R79">
        <v>1.238</v>
      </c>
      <c r="S79">
        <v>4.4560000000000004</v>
      </c>
      <c r="T79">
        <v>3.556</v>
      </c>
      <c r="U79">
        <v>3.5430000000000001</v>
      </c>
      <c r="V79">
        <v>4.306</v>
      </c>
      <c r="W79">
        <v>4.0730000000000004</v>
      </c>
      <c r="X79">
        <v>3.734</v>
      </c>
      <c r="Y79">
        <v>1.3879999999999999</v>
      </c>
      <c r="Z79">
        <v>0.97299999999999998</v>
      </c>
      <c r="AA79">
        <v>4.8380000000000001</v>
      </c>
      <c r="AB79">
        <v>5.0999999999999996</v>
      </c>
      <c r="AC79">
        <v>6.5540000000000003</v>
      </c>
      <c r="AD79">
        <v>6.8140000000000001</v>
      </c>
      <c r="AE79">
        <v>5.5659999999999998</v>
      </c>
      <c r="AF79">
        <v>5.2670000000000003</v>
      </c>
      <c r="AG79">
        <v>5.4630000000000001</v>
      </c>
      <c r="AH79">
        <v>7.41</v>
      </c>
      <c r="AI79">
        <v>8.4039999999999999</v>
      </c>
      <c r="AJ79">
        <v>4.1159999999999997</v>
      </c>
      <c r="AK79">
        <v>5.59</v>
      </c>
      <c r="AL79">
        <v>7.4480000000000004</v>
      </c>
      <c r="AM79">
        <v>5.851</v>
      </c>
      <c r="AN79">
        <v>8.3919999999999995</v>
      </c>
      <c r="AO79">
        <v>3.5430000000000001</v>
      </c>
      <c r="AP79">
        <v>4.306</v>
      </c>
    </row>
    <row r="80" spans="1:42" x14ac:dyDescent="0.2">
      <c r="A80" t="s">
        <v>239</v>
      </c>
      <c r="B80">
        <v>1.9259999999999999</v>
      </c>
      <c r="C80">
        <v>2.3199999999999998</v>
      </c>
      <c r="D80">
        <v>2.831</v>
      </c>
      <c r="E80">
        <v>2.7869999999999999</v>
      </c>
      <c r="F80">
        <v>2.2490000000000001</v>
      </c>
      <c r="G80">
        <v>2.952</v>
      </c>
      <c r="H80">
        <v>0.13400000000000001</v>
      </c>
      <c r="I80">
        <v>8.8999999999999996E-2</v>
      </c>
      <c r="J80">
        <v>2.0640000000000001</v>
      </c>
      <c r="K80">
        <v>2.097</v>
      </c>
      <c r="L80">
        <v>2.3170000000000002</v>
      </c>
      <c r="M80">
        <v>2.3769999999999998</v>
      </c>
      <c r="N80">
        <v>2.4369999999999998</v>
      </c>
      <c r="O80">
        <v>2.464</v>
      </c>
      <c r="P80">
        <v>2.8</v>
      </c>
      <c r="Q80">
        <v>3.0030000000000001</v>
      </c>
      <c r="R80">
        <v>1.236</v>
      </c>
      <c r="S80">
        <v>4.5220000000000002</v>
      </c>
      <c r="T80">
        <v>3.589</v>
      </c>
      <c r="U80">
        <v>3.5550000000000002</v>
      </c>
      <c r="V80">
        <v>4.367</v>
      </c>
      <c r="W80">
        <v>4.1130000000000004</v>
      </c>
      <c r="X80">
        <v>3.7789999999999999</v>
      </c>
      <c r="Y80">
        <v>1.419</v>
      </c>
      <c r="Z80">
        <v>1.016</v>
      </c>
      <c r="AA80">
        <v>4.8780000000000001</v>
      </c>
      <c r="AB80">
        <v>5.1470000000000002</v>
      </c>
      <c r="AC80">
        <v>6.59</v>
      </c>
      <c r="AD80">
        <v>6.8410000000000002</v>
      </c>
      <c r="AE80">
        <v>5.6340000000000003</v>
      </c>
      <c r="AF80">
        <v>5.3680000000000003</v>
      </c>
      <c r="AG80">
        <v>5.5720000000000001</v>
      </c>
      <c r="AH80">
        <v>7.56</v>
      </c>
      <c r="AI80">
        <v>8.5449999999999999</v>
      </c>
      <c r="AJ80">
        <v>4.3</v>
      </c>
      <c r="AK80">
        <v>5.6459999999999999</v>
      </c>
      <c r="AL80">
        <v>7.49</v>
      </c>
      <c r="AM80">
        <v>5.9749999999999996</v>
      </c>
      <c r="AN80">
        <v>8.57</v>
      </c>
      <c r="AO80">
        <v>3.5550000000000002</v>
      </c>
      <c r="AP80">
        <v>4.367</v>
      </c>
    </row>
    <row r="81" spans="1:42" x14ac:dyDescent="0.2">
      <c r="A81" t="s">
        <v>240</v>
      </c>
      <c r="B81">
        <v>1.9379999999999999</v>
      </c>
      <c r="C81">
        <v>2.367</v>
      </c>
      <c r="D81">
        <v>2.8519999999999999</v>
      </c>
      <c r="E81">
        <v>2.8069999999999999</v>
      </c>
      <c r="F81">
        <v>2.282</v>
      </c>
      <c r="G81">
        <v>2.99</v>
      </c>
      <c r="H81">
        <v>0.13800000000000001</v>
      </c>
      <c r="I81">
        <v>9.6000000000000002E-2</v>
      </c>
      <c r="J81">
        <v>2.081</v>
      </c>
      <c r="K81">
        <v>2.1139999999999999</v>
      </c>
      <c r="L81">
        <v>2.3340000000000001</v>
      </c>
      <c r="M81">
        <v>2.3929999999999998</v>
      </c>
      <c r="N81">
        <v>2.4910000000000001</v>
      </c>
      <c r="O81">
        <v>2.52</v>
      </c>
      <c r="P81">
        <v>2.8639999999999999</v>
      </c>
      <c r="Q81">
        <v>3.0670000000000002</v>
      </c>
      <c r="R81">
        <v>1.2330000000000001</v>
      </c>
      <c r="S81">
        <v>4.5860000000000003</v>
      </c>
      <c r="T81">
        <v>3.6230000000000002</v>
      </c>
      <c r="U81">
        <v>3.5670000000000002</v>
      </c>
      <c r="V81">
        <v>4.4269999999999996</v>
      </c>
      <c r="W81">
        <v>4.1520000000000001</v>
      </c>
      <c r="X81">
        <v>3.823</v>
      </c>
      <c r="Y81">
        <v>1.4490000000000001</v>
      </c>
      <c r="Z81">
        <v>1.0589999999999999</v>
      </c>
      <c r="AA81">
        <v>4.9189999999999996</v>
      </c>
      <c r="AB81">
        <v>5.1929999999999996</v>
      </c>
      <c r="AC81">
        <v>6.625</v>
      </c>
      <c r="AD81">
        <v>6.8680000000000003</v>
      </c>
      <c r="AE81">
        <v>5.7</v>
      </c>
      <c r="AF81">
        <v>5.468</v>
      </c>
      <c r="AG81">
        <v>5.681</v>
      </c>
      <c r="AH81">
        <v>7.7089999999999996</v>
      </c>
      <c r="AI81">
        <v>8.6829999999999998</v>
      </c>
      <c r="AJ81">
        <v>4.484</v>
      </c>
      <c r="AK81">
        <v>5.7030000000000003</v>
      </c>
      <c r="AL81">
        <v>7.5309999999999997</v>
      </c>
      <c r="AM81">
        <v>6.0990000000000002</v>
      </c>
      <c r="AN81">
        <v>8.7460000000000004</v>
      </c>
      <c r="AO81">
        <v>3.5670000000000002</v>
      </c>
      <c r="AP81">
        <v>4.4269999999999996</v>
      </c>
    </row>
    <row r="82" spans="1:42" x14ac:dyDescent="0.2">
      <c r="A82" t="s">
        <v>241</v>
      </c>
      <c r="B82">
        <v>1.9510000000000001</v>
      </c>
      <c r="C82">
        <v>2.4140000000000001</v>
      </c>
      <c r="D82">
        <v>2.8730000000000002</v>
      </c>
      <c r="E82">
        <v>2.827</v>
      </c>
      <c r="F82">
        <v>2.3140000000000001</v>
      </c>
      <c r="G82">
        <v>3.028</v>
      </c>
      <c r="H82">
        <v>0.14199999999999999</v>
      </c>
      <c r="I82">
        <v>0.104</v>
      </c>
      <c r="J82">
        <v>2.097</v>
      </c>
      <c r="K82">
        <v>2.1309999999999998</v>
      </c>
      <c r="L82">
        <v>2.351</v>
      </c>
      <c r="M82">
        <v>2.4089999999999998</v>
      </c>
      <c r="N82">
        <v>2.5449999999999999</v>
      </c>
      <c r="O82">
        <v>2.5760000000000001</v>
      </c>
      <c r="P82">
        <v>2.9289999999999998</v>
      </c>
      <c r="Q82">
        <v>3.1320000000000001</v>
      </c>
      <c r="R82">
        <v>1.2310000000000001</v>
      </c>
      <c r="S82">
        <v>4.649</v>
      </c>
      <c r="T82">
        <v>3.6549999999999998</v>
      </c>
      <c r="U82">
        <v>3.5790000000000002</v>
      </c>
      <c r="V82">
        <v>4.4859999999999998</v>
      </c>
      <c r="W82">
        <v>4.1890000000000001</v>
      </c>
      <c r="X82">
        <v>3.867</v>
      </c>
      <c r="Y82">
        <v>1.48</v>
      </c>
      <c r="Z82">
        <v>1.103</v>
      </c>
      <c r="AA82">
        <v>4.9589999999999996</v>
      </c>
      <c r="AB82">
        <v>5.2389999999999999</v>
      </c>
      <c r="AC82">
        <v>6.6589999999999998</v>
      </c>
      <c r="AD82">
        <v>6.8949999999999996</v>
      </c>
      <c r="AE82">
        <v>5.7629999999999999</v>
      </c>
      <c r="AF82">
        <v>5.5679999999999996</v>
      </c>
      <c r="AG82">
        <v>5.7889999999999997</v>
      </c>
      <c r="AH82">
        <v>7.8559999999999999</v>
      </c>
      <c r="AI82">
        <v>8.82</v>
      </c>
      <c r="AJ82">
        <v>4.6669999999999998</v>
      </c>
      <c r="AK82">
        <v>5.7590000000000003</v>
      </c>
      <c r="AL82">
        <v>7.5709999999999997</v>
      </c>
      <c r="AM82">
        <v>6.2229999999999999</v>
      </c>
      <c r="AN82">
        <v>8.9190000000000005</v>
      </c>
      <c r="AO82">
        <v>3.5790000000000002</v>
      </c>
      <c r="AP82">
        <v>4.4859999999999998</v>
      </c>
    </row>
    <row r="83" spans="1:42" x14ac:dyDescent="0.2">
      <c r="A83" t="s">
        <v>242</v>
      </c>
      <c r="B83">
        <v>1.9630000000000001</v>
      </c>
      <c r="C83">
        <v>2.4609999999999999</v>
      </c>
      <c r="D83">
        <v>2.8940000000000001</v>
      </c>
      <c r="E83">
        <v>2.8460000000000001</v>
      </c>
      <c r="F83">
        <v>2.3460000000000001</v>
      </c>
      <c r="G83">
        <v>3.0649999999999999</v>
      </c>
      <c r="H83">
        <v>0.14699999999999999</v>
      </c>
      <c r="I83">
        <v>0.111</v>
      </c>
      <c r="J83">
        <v>2.113</v>
      </c>
      <c r="K83">
        <v>2.1480000000000001</v>
      </c>
      <c r="L83">
        <v>2.367</v>
      </c>
      <c r="M83">
        <v>2.4239999999999999</v>
      </c>
      <c r="N83">
        <v>2.5990000000000002</v>
      </c>
      <c r="O83">
        <v>2.6309999999999998</v>
      </c>
      <c r="P83">
        <v>2.9929999999999999</v>
      </c>
      <c r="Q83">
        <v>3.1960000000000002</v>
      </c>
      <c r="R83">
        <v>1.2290000000000001</v>
      </c>
      <c r="S83">
        <v>4.7119999999999997</v>
      </c>
      <c r="T83">
        <v>3.6869999999999998</v>
      </c>
      <c r="U83">
        <v>3.59</v>
      </c>
      <c r="V83">
        <v>4.5449999999999999</v>
      </c>
      <c r="W83">
        <v>4.2270000000000003</v>
      </c>
      <c r="X83">
        <v>3.911</v>
      </c>
      <c r="Y83">
        <v>1.51</v>
      </c>
      <c r="Z83">
        <v>1.147</v>
      </c>
      <c r="AA83">
        <v>4.9980000000000002</v>
      </c>
      <c r="AB83">
        <v>5.2850000000000001</v>
      </c>
      <c r="AC83">
        <v>6.6909999999999998</v>
      </c>
      <c r="AD83">
        <v>6.92</v>
      </c>
      <c r="AE83">
        <v>5.8250000000000002</v>
      </c>
      <c r="AF83">
        <v>5.6680000000000001</v>
      </c>
      <c r="AG83">
        <v>5.8970000000000002</v>
      </c>
      <c r="AH83">
        <v>8.0020000000000007</v>
      </c>
      <c r="AI83">
        <v>8.9540000000000006</v>
      </c>
      <c r="AJ83">
        <v>4.8479999999999999</v>
      </c>
      <c r="AK83">
        <v>5.8150000000000004</v>
      </c>
      <c r="AL83">
        <v>7.61</v>
      </c>
      <c r="AM83">
        <v>6.3470000000000004</v>
      </c>
      <c r="AN83">
        <v>9.0909999999999993</v>
      </c>
      <c r="AO83">
        <v>3.59</v>
      </c>
      <c r="AP83">
        <v>4.5449999999999999</v>
      </c>
    </row>
    <row r="84" spans="1:42" x14ac:dyDescent="0.2">
      <c r="A84" t="s">
        <v>243</v>
      </c>
      <c r="B84">
        <v>1.9750000000000001</v>
      </c>
      <c r="C84">
        <v>2.5070000000000001</v>
      </c>
      <c r="D84">
        <v>2.9140000000000001</v>
      </c>
      <c r="E84">
        <v>2.8650000000000002</v>
      </c>
      <c r="F84">
        <v>2.3769999999999998</v>
      </c>
      <c r="G84">
        <v>3.1019999999999999</v>
      </c>
      <c r="H84">
        <v>0.151</v>
      </c>
      <c r="I84">
        <v>0.11899999999999999</v>
      </c>
      <c r="J84">
        <v>2.129</v>
      </c>
      <c r="K84">
        <v>2.165</v>
      </c>
      <c r="L84">
        <v>2.383</v>
      </c>
      <c r="M84">
        <v>2.4390000000000001</v>
      </c>
      <c r="N84">
        <v>2.6520000000000001</v>
      </c>
      <c r="O84">
        <v>2.6859999999999999</v>
      </c>
      <c r="P84">
        <v>3.0569999999999999</v>
      </c>
      <c r="Q84">
        <v>3.2589999999999999</v>
      </c>
      <c r="R84">
        <v>1.228</v>
      </c>
      <c r="S84">
        <v>4.7729999999999997</v>
      </c>
      <c r="T84">
        <v>3.718</v>
      </c>
      <c r="U84">
        <v>3.601</v>
      </c>
      <c r="V84">
        <v>4.6020000000000003</v>
      </c>
      <c r="W84">
        <v>4.2629999999999999</v>
      </c>
      <c r="X84">
        <v>3.9550000000000001</v>
      </c>
      <c r="Y84">
        <v>1.5409999999999999</v>
      </c>
      <c r="Z84">
        <v>1.1919999999999999</v>
      </c>
      <c r="AA84">
        <v>5.0380000000000003</v>
      </c>
      <c r="AB84">
        <v>5.3310000000000004</v>
      </c>
      <c r="AC84">
        <v>6.7229999999999999</v>
      </c>
      <c r="AD84">
        <v>6.944</v>
      </c>
      <c r="AE84">
        <v>5.8849999999999998</v>
      </c>
      <c r="AF84">
        <v>5.7670000000000003</v>
      </c>
      <c r="AG84">
        <v>6.0039999999999996</v>
      </c>
      <c r="AH84">
        <v>8.1449999999999996</v>
      </c>
      <c r="AI84">
        <v>9.0860000000000003</v>
      </c>
      <c r="AJ84">
        <v>5.0289999999999999</v>
      </c>
      <c r="AK84">
        <v>5.8710000000000004</v>
      </c>
      <c r="AL84">
        <v>7.6470000000000002</v>
      </c>
      <c r="AM84">
        <v>6.47</v>
      </c>
      <c r="AN84">
        <v>9.26</v>
      </c>
      <c r="AO84">
        <v>3.601</v>
      </c>
      <c r="AP84">
        <v>4.6020000000000003</v>
      </c>
    </row>
    <row r="85" spans="1:42" x14ac:dyDescent="0.2">
      <c r="A85" t="s">
        <v>244</v>
      </c>
      <c r="B85">
        <v>1.986</v>
      </c>
      <c r="C85">
        <v>2.5529999999999999</v>
      </c>
      <c r="D85">
        <v>2.9329999999999998</v>
      </c>
      <c r="E85">
        <v>2.883</v>
      </c>
      <c r="F85">
        <v>2.4079999999999999</v>
      </c>
      <c r="G85">
        <v>3.1379999999999999</v>
      </c>
      <c r="H85">
        <v>0.155</v>
      </c>
      <c r="I85">
        <v>0.126</v>
      </c>
      <c r="J85">
        <v>2.1440000000000001</v>
      </c>
      <c r="K85">
        <v>2.1819999999999999</v>
      </c>
      <c r="L85">
        <v>2.399</v>
      </c>
      <c r="M85">
        <v>2.4540000000000002</v>
      </c>
      <c r="N85">
        <v>2.706</v>
      </c>
      <c r="O85">
        <v>2.742</v>
      </c>
      <c r="P85">
        <v>3.12</v>
      </c>
      <c r="Q85">
        <v>3.323</v>
      </c>
      <c r="R85">
        <v>1.226</v>
      </c>
      <c r="S85">
        <v>4.8330000000000002</v>
      </c>
      <c r="T85">
        <v>3.7490000000000001</v>
      </c>
      <c r="U85">
        <v>3.6110000000000002</v>
      </c>
      <c r="V85">
        <v>4.6580000000000004</v>
      </c>
      <c r="W85">
        <v>4.2990000000000004</v>
      </c>
      <c r="X85">
        <v>3.9990000000000001</v>
      </c>
      <c r="Y85">
        <v>1.5720000000000001</v>
      </c>
      <c r="Z85">
        <v>1.2370000000000001</v>
      </c>
      <c r="AA85">
        <v>5.077</v>
      </c>
      <c r="AB85">
        <v>5.3769999999999998</v>
      </c>
      <c r="AC85">
        <v>6.7539999999999996</v>
      </c>
      <c r="AD85">
        <v>6.968</v>
      </c>
      <c r="AE85">
        <v>5.9420000000000002</v>
      </c>
      <c r="AF85">
        <v>5.8650000000000002</v>
      </c>
      <c r="AG85">
        <v>6.1109999999999998</v>
      </c>
      <c r="AH85">
        <v>8.2859999999999996</v>
      </c>
      <c r="AI85">
        <v>9.2159999999999993</v>
      </c>
      <c r="AJ85">
        <v>5.2080000000000002</v>
      </c>
      <c r="AK85">
        <v>5.9260000000000002</v>
      </c>
      <c r="AL85">
        <v>7.6829999999999998</v>
      </c>
      <c r="AM85">
        <v>6.5940000000000003</v>
      </c>
      <c r="AN85">
        <v>9.4269999999999996</v>
      </c>
      <c r="AO85">
        <v>3.6110000000000002</v>
      </c>
      <c r="AP85">
        <v>4.6580000000000004</v>
      </c>
    </row>
    <row r="86" spans="1:42" x14ac:dyDescent="0.2">
      <c r="A86" t="s">
        <v>245</v>
      </c>
      <c r="B86">
        <v>1.998</v>
      </c>
      <c r="C86">
        <v>2.5990000000000002</v>
      </c>
      <c r="D86">
        <v>2.952</v>
      </c>
      <c r="E86">
        <v>2.9009999999999998</v>
      </c>
      <c r="F86">
        <v>2.44</v>
      </c>
      <c r="G86">
        <v>3.1739999999999999</v>
      </c>
      <c r="H86">
        <v>0.16</v>
      </c>
      <c r="I86">
        <v>0.13400000000000001</v>
      </c>
      <c r="J86">
        <v>2.16</v>
      </c>
      <c r="K86">
        <v>2.1989999999999998</v>
      </c>
      <c r="L86">
        <v>2.415</v>
      </c>
      <c r="M86">
        <v>2.4689999999999999</v>
      </c>
      <c r="N86">
        <v>2.7589999999999999</v>
      </c>
      <c r="O86">
        <v>2.7970000000000002</v>
      </c>
      <c r="P86">
        <v>3.1829999999999998</v>
      </c>
      <c r="Q86">
        <v>3.3849999999999998</v>
      </c>
      <c r="R86">
        <v>1.226</v>
      </c>
      <c r="S86">
        <v>4.891</v>
      </c>
      <c r="T86">
        <v>3.7789999999999999</v>
      </c>
      <c r="U86">
        <v>3.6219999999999999</v>
      </c>
      <c r="V86">
        <v>4.7130000000000001</v>
      </c>
      <c r="W86">
        <v>4.3339999999999996</v>
      </c>
      <c r="X86">
        <v>4.0419999999999998</v>
      </c>
      <c r="Y86">
        <v>1.603</v>
      </c>
      <c r="Z86">
        <v>1.2829999999999999</v>
      </c>
      <c r="AA86">
        <v>5.1159999999999997</v>
      </c>
      <c r="AB86">
        <v>5.4219999999999997</v>
      </c>
      <c r="AC86">
        <v>6.7830000000000004</v>
      </c>
      <c r="AD86">
        <v>6.9909999999999997</v>
      </c>
      <c r="AE86">
        <v>5.9980000000000002</v>
      </c>
      <c r="AF86">
        <v>5.9630000000000001</v>
      </c>
      <c r="AG86">
        <v>6.218</v>
      </c>
      <c r="AH86">
        <v>8.4260000000000002</v>
      </c>
      <c r="AI86">
        <v>9.3439999999999994</v>
      </c>
      <c r="AJ86">
        <v>5.3869999999999996</v>
      </c>
      <c r="AK86">
        <v>5.9820000000000002</v>
      </c>
      <c r="AL86">
        <v>7.718</v>
      </c>
      <c r="AM86">
        <v>6.7169999999999996</v>
      </c>
      <c r="AN86">
        <v>9.5920000000000005</v>
      </c>
      <c r="AO86">
        <v>3.6219999999999999</v>
      </c>
      <c r="AP86">
        <v>4.7130000000000001</v>
      </c>
    </row>
    <row r="87" spans="1:42" x14ac:dyDescent="0.2">
      <c r="A87" t="s">
        <v>246</v>
      </c>
      <c r="B87">
        <v>2.0089999999999999</v>
      </c>
      <c r="C87">
        <v>2.645</v>
      </c>
      <c r="D87">
        <v>2.9710000000000001</v>
      </c>
      <c r="E87">
        <v>2.919</v>
      </c>
      <c r="F87">
        <v>2.4700000000000002</v>
      </c>
      <c r="G87">
        <v>3.21</v>
      </c>
      <c r="H87">
        <v>0.16400000000000001</v>
      </c>
      <c r="I87">
        <v>0.14199999999999999</v>
      </c>
      <c r="J87">
        <v>2.1749999999999998</v>
      </c>
      <c r="K87">
        <v>2.2149999999999999</v>
      </c>
      <c r="L87">
        <v>2.4300000000000002</v>
      </c>
      <c r="M87">
        <v>2.4830000000000001</v>
      </c>
      <c r="N87">
        <v>2.8119999999999998</v>
      </c>
      <c r="O87">
        <v>2.8519999999999999</v>
      </c>
      <c r="P87">
        <v>3.246</v>
      </c>
      <c r="Q87">
        <v>3.448</v>
      </c>
      <c r="R87">
        <v>1.2250000000000001</v>
      </c>
      <c r="S87">
        <v>4.9489999999999998</v>
      </c>
      <c r="T87">
        <v>3.8079999999999998</v>
      </c>
      <c r="U87">
        <v>3.6309999999999998</v>
      </c>
      <c r="V87">
        <v>4.7670000000000003</v>
      </c>
      <c r="W87">
        <v>4.3680000000000003</v>
      </c>
      <c r="X87">
        <v>4.085</v>
      </c>
      <c r="Y87">
        <v>1.6339999999999999</v>
      </c>
      <c r="Z87">
        <v>1.329</v>
      </c>
      <c r="AA87">
        <v>5.1539999999999999</v>
      </c>
      <c r="AB87">
        <v>5.4669999999999996</v>
      </c>
      <c r="AC87">
        <v>6.8120000000000003</v>
      </c>
      <c r="AD87">
        <v>7.0129999999999999</v>
      </c>
      <c r="AE87">
        <v>6.0519999999999996</v>
      </c>
      <c r="AF87">
        <v>6.0609999999999999</v>
      </c>
      <c r="AG87">
        <v>6.3239999999999998</v>
      </c>
      <c r="AH87">
        <v>8.5630000000000006</v>
      </c>
      <c r="AI87">
        <v>9.4700000000000006</v>
      </c>
      <c r="AJ87">
        <v>5.5629999999999997</v>
      </c>
      <c r="AK87">
        <v>6.0369999999999999</v>
      </c>
      <c r="AL87">
        <v>7.7519999999999998</v>
      </c>
      <c r="AM87">
        <v>6.84</v>
      </c>
      <c r="AN87">
        <v>9.7539999999999996</v>
      </c>
      <c r="AO87">
        <v>3.6309999999999998</v>
      </c>
      <c r="AP87">
        <v>4.7670000000000003</v>
      </c>
    </row>
    <row r="88" spans="1:42" x14ac:dyDescent="0.2">
      <c r="A88" t="s">
        <v>247</v>
      </c>
      <c r="B88">
        <v>2.02</v>
      </c>
      <c r="C88">
        <v>2.69</v>
      </c>
      <c r="D88">
        <v>2.99</v>
      </c>
      <c r="E88">
        <v>2.9359999999999999</v>
      </c>
      <c r="F88">
        <v>2.5009999999999999</v>
      </c>
      <c r="G88">
        <v>3.2450000000000001</v>
      </c>
      <c r="H88">
        <v>0.16900000000000001</v>
      </c>
      <c r="I88">
        <v>0.15</v>
      </c>
      <c r="J88">
        <v>2.19</v>
      </c>
      <c r="K88">
        <v>2.2309999999999999</v>
      </c>
      <c r="L88">
        <v>2.4449999999999998</v>
      </c>
      <c r="M88">
        <v>2.4980000000000002</v>
      </c>
      <c r="N88">
        <v>2.8650000000000002</v>
      </c>
      <c r="O88">
        <v>2.9060000000000001</v>
      </c>
      <c r="P88">
        <v>3.3090000000000002</v>
      </c>
      <c r="Q88">
        <v>3.51</v>
      </c>
      <c r="R88">
        <v>1.224</v>
      </c>
      <c r="S88">
        <v>5.0060000000000002</v>
      </c>
      <c r="T88">
        <v>3.8370000000000002</v>
      </c>
      <c r="U88">
        <v>3.641</v>
      </c>
      <c r="V88">
        <v>4.82</v>
      </c>
      <c r="W88">
        <v>4.4020000000000001</v>
      </c>
      <c r="X88">
        <v>4.1269999999999998</v>
      </c>
      <c r="Y88">
        <v>1.665</v>
      </c>
      <c r="Z88">
        <v>1.3759999999999999</v>
      </c>
      <c r="AA88">
        <v>5.1929999999999996</v>
      </c>
      <c r="AB88">
        <v>5.5129999999999999</v>
      </c>
      <c r="AC88">
        <v>6.84</v>
      </c>
      <c r="AD88">
        <v>7.0339999999999998</v>
      </c>
      <c r="AE88">
        <v>6.1050000000000004</v>
      </c>
      <c r="AF88">
        <v>6.1580000000000004</v>
      </c>
      <c r="AG88">
        <v>6.43</v>
      </c>
      <c r="AH88">
        <v>8.6989999999999998</v>
      </c>
      <c r="AI88">
        <v>9.593</v>
      </c>
      <c r="AJ88">
        <v>5.7389999999999999</v>
      </c>
      <c r="AK88">
        <v>6.093</v>
      </c>
      <c r="AL88">
        <v>7.7850000000000001</v>
      </c>
      <c r="AM88">
        <v>6.9619999999999997</v>
      </c>
      <c r="AN88">
        <v>9.9149999999999991</v>
      </c>
      <c r="AO88">
        <v>3.641</v>
      </c>
      <c r="AP88">
        <v>4.82</v>
      </c>
    </row>
    <row r="89" spans="1:42" x14ac:dyDescent="0.2">
      <c r="A89" t="s">
        <v>248</v>
      </c>
      <c r="B89">
        <v>2.0310000000000001</v>
      </c>
      <c r="C89">
        <v>2.7349999999999999</v>
      </c>
      <c r="D89">
        <v>3.008</v>
      </c>
      <c r="E89">
        <v>2.9540000000000002</v>
      </c>
      <c r="F89">
        <v>2.5310000000000001</v>
      </c>
      <c r="G89">
        <v>3.28</v>
      </c>
      <c r="H89">
        <v>0.17299999999999999</v>
      </c>
      <c r="I89">
        <v>0.159</v>
      </c>
      <c r="J89">
        <v>2.2050000000000001</v>
      </c>
      <c r="K89">
        <v>2.2469999999999999</v>
      </c>
      <c r="L89">
        <v>2.46</v>
      </c>
      <c r="M89">
        <v>2.5110000000000001</v>
      </c>
      <c r="N89">
        <v>2.9180000000000001</v>
      </c>
      <c r="O89">
        <v>2.9609999999999999</v>
      </c>
      <c r="P89">
        <v>3.371</v>
      </c>
      <c r="Q89">
        <v>3.5710000000000002</v>
      </c>
      <c r="R89">
        <v>1.224</v>
      </c>
      <c r="S89">
        <v>5.0609999999999999</v>
      </c>
      <c r="T89">
        <v>3.8650000000000002</v>
      </c>
      <c r="U89">
        <v>3.65</v>
      </c>
      <c r="V89">
        <v>4.8719999999999999</v>
      </c>
      <c r="W89">
        <v>4.4349999999999996</v>
      </c>
      <c r="X89">
        <v>4.1689999999999996</v>
      </c>
      <c r="Y89">
        <v>1.696</v>
      </c>
      <c r="Z89">
        <v>1.423</v>
      </c>
      <c r="AA89">
        <v>5.2309999999999999</v>
      </c>
      <c r="AB89">
        <v>5.5579999999999998</v>
      </c>
      <c r="AC89">
        <v>6.867</v>
      </c>
      <c r="AD89">
        <v>7.0549999999999997</v>
      </c>
      <c r="AE89">
        <v>6.1550000000000002</v>
      </c>
      <c r="AF89">
        <v>6.2549999999999999</v>
      </c>
      <c r="AG89">
        <v>6.5359999999999996</v>
      </c>
      <c r="AH89">
        <v>8.8320000000000007</v>
      </c>
      <c r="AI89">
        <v>9.7149999999999999</v>
      </c>
      <c r="AJ89">
        <v>5.9119999999999999</v>
      </c>
      <c r="AK89">
        <v>6.1479999999999997</v>
      </c>
      <c r="AL89">
        <v>7.8170000000000002</v>
      </c>
      <c r="AM89">
        <v>7.085</v>
      </c>
      <c r="AN89">
        <v>10.073</v>
      </c>
      <c r="AO89">
        <v>3.65</v>
      </c>
      <c r="AP89">
        <v>4.8719999999999999</v>
      </c>
    </row>
    <row r="90" spans="1:42" x14ac:dyDescent="0.2">
      <c r="A90" t="s">
        <v>249</v>
      </c>
      <c r="B90">
        <v>2.0409999999999999</v>
      </c>
      <c r="C90">
        <v>2.7789999999999999</v>
      </c>
      <c r="D90">
        <v>3.0249999999999999</v>
      </c>
      <c r="E90">
        <v>2.97</v>
      </c>
      <c r="F90">
        <v>2.5609999999999999</v>
      </c>
      <c r="G90">
        <v>3.3149999999999999</v>
      </c>
      <c r="H90">
        <v>0.17799999999999999</v>
      </c>
      <c r="I90">
        <v>0.16700000000000001</v>
      </c>
      <c r="J90">
        <v>2.2200000000000002</v>
      </c>
      <c r="K90">
        <v>2.2629999999999999</v>
      </c>
      <c r="L90">
        <v>2.4750000000000001</v>
      </c>
      <c r="M90">
        <v>2.5249999999999999</v>
      </c>
      <c r="N90">
        <v>2.9710000000000001</v>
      </c>
      <c r="O90">
        <v>3.016</v>
      </c>
      <c r="P90">
        <v>3.4329999999999998</v>
      </c>
      <c r="Q90">
        <v>3.633</v>
      </c>
      <c r="R90">
        <v>1.224</v>
      </c>
      <c r="S90">
        <v>5.1159999999999997</v>
      </c>
      <c r="T90">
        <v>3.8919999999999999</v>
      </c>
      <c r="U90">
        <v>3.6589999999999998</v>
      </c>
      <c r="V90">
        <v>4.923</v>
      </c>
      <c r="W90">
        <v>4.4669999999999996</v>
      </c>
      <c r="X90">
        <v>4.2110000000000003</v>
      </c>
      <c r="Y90">
        <v>1.7270000000000001</v>
      </c>
      <c r="Z90">
        <v>1.4710000000000001</v>
      </c>
      <c r="AA90">
        <v>5.2690000000000001</v>
      </c>
      <c r="AB90">
        <v>5.6029999999999998</v>
      </c>
      <c r="AC90">
        <v>6.8929999999999998</v>
      </c>
      <c r="AD90">
        <v>7.0750000000000002</v>
      </c>
      <c r="AE90">
        <v>6.2039999999999997</v>
      </c>
      <c r="AF90">
        <v>6.351</v>
      </c>
      <c r="AG90">
        <v>6.641</v>
      </c>
      <c r="AH90">
        <v>8.9640000000000004</v>
      </c>
      <c r="AI90">
        <v>9.8339999999999996</v>
      </c>
      <c r="AJ90">
        <v>6.0839999999999996</v>
      </c>
      <c r="AK90">
        <v>6.2030000000000003</v>
      </c>
      <c r="AL90">
        <v>7.8470000000000004</v>
      </c>
      <c r="AM90">
        <v>7.2069999999999999</v>
      </c>
      <c r="AN90">
        <v>10.228</v>
      </c>
      <c r="AO90">
        <v>3.6589999999999998</v>
      </c>
      <c r="AP90">
        <v>4.923</v>
      </c>
    </row>
    <row r="91" spans="1:42" x14ac:dyDescent="0.2">
      <c r="A91" t="s">
        <v>250</v>
      </c>
      <c r="B91">
        <v>2.052</v>
      </c>
      <c r="C91">
        <v>2.823</v>
      </c>
      <c r="D91">
        <v>3.0430000000000001</v>
      </c>
      <c r="E91">
        <v>2.9870000000000001</v>
      </c>
      <c r="F91">
        <v>2.5910000000000002</v>
      </c>
      <c r="G91">
        <v>3.3490000000000002</v>
      </c>
      <c r="H91">
        <v>0.183</v>
      </c>
      <c r="I91">
        <v>0.17599999999999999</v>
      </c>
      <c r="J91">
        <v>2.234</v>
      </c>
      <c r="K91">
        <v>2.2789999999999999</v>
      </c>
      <c r="L91">
        <v>2.4889999999999999</v>
      </c>
      <c r="M91">
        <v>2.5379999999999998</v>
      </c>
      <c r="N91">
        <v>3.0230000000000001</v>
      </c>
      <c r="O91">
        <v>3.07</v>
      </c>
      <c r="P91">
        <v>3.4940000000000002</v>
      </c>
      <c r="Q91">
        <v>3.6930000000000001</v>
      </c>
      <c r="R91">
        <v>1.2250000000000001</v>
      </c>
      <c r="S91">
        <v>5.1689999999999996</v>
      </c>
      <c r="T91">
        <v>3.919</v>
      </c>
      <c r="U91">
        <v>3.6680000000000001</v>
      </c>
      <c r="V91">
        <v>4.9729999999999999</v>
      </c>
      <c r="W91">
        <v>4.4989999999999997</v>
      </c>
      <c r="X91">
        <v>4.2519999999999998</v>
      </c>
      <c r="Y91">
        <v>1.758</v>
      </c>
      <c r="Z91">
        <v>1.5189999999999999</v>
      </c>
      <c r="AA91">
        <v>5.3070000000000004</v>
      </c>
      <c r="AB91">
        <v>5.6479999999999997</v>
      </c>
      <c r="AC91">
        <v>6.9180000000000001</v>
      </c>
      <c r="AD91">
        <v>7.0949999999999998</v>
      </c>
      <c r="AE91">
        <v>6.2519999999999998</v>
      </c>
      <c r="AF91">
        <v>6.4459999999999997</v>
      </c>
      <c r="AG91">
        <v>6.7460000000000004</v>
      </c>
      <c r="AH91">
        <v>9.0939999999999994</v>
      </c>
      <c r="AI91">
        <v>9.9510000000000005</v>
      </c>
      <c r="AJ91">
        <v>6.2549999999999999</v>
      </c>
      <c r="AK91">
        <v>6.258</v>
      </c>
      <c r="AL91">
        <v>7.8769999999999998</v>
      </c>
      <c r="AM91">
        <v>7.3289999999999997</v>
      </c>
      <c r="AN91">
        <v>10.382</v>
      </c>
      <c r="AO91">
        <v>3.6680000000000001</v>
      </c>
      <c r="AP91">
        <v>4.9729999999999999</v>
      </c>
    </row>
    <row r="92" spans="1:42" x14ac:dyDescent="0.2">
      <c r="A92" t="s">
        <v>251</v>
      </c>
      <c r="B92">
        <v>2.0619999999999998</v>
      </c>
      <c r="C92">
        <v>2.867</v>
      </c>
      <c r="D92">
        <v>3.0590000000000002</v>
      </c>
      <c r="E92">
        <v>3.0030000000000001</v>
      </c>
      <c r="F92">
        <v>2.62</v>
      </c>
      <c r="G92">
        <v>3.383</v>
      </c>
      <c r="H92">
        <v>0.187</v>
      </c>
      <c r="I92">
        <v>0.185</v>
      </c>
      <c r="J92">
        <v>2.2490000000000001</v>
      </c>
      <c r="K92">
        <v>2.2949999999999999</v>
      </c>
      <c r="L92">
        <v>2.5030000000000001</v>
      </c>
      <c r="M92">
        <v>2.552</v>
      </c>
      <c r="N92">
        <v>3.0750000000000002</v>
      </c>
      <c r="O92">
        <v>3.1240000000000001</v>
      </c>
      <c r="P92">
        <v>3.5550000000000002</v>
      </c>
      <c r="Q92">
        <v>3.754</v>
      </c>
      <c r="R92">
        <v>1.2250000000000001</v>
      </c>
      <c r="S92">
        <v>5.2220000000000004</v>
      </c>
      <c r="T92">
        <v>3.9460000000000002</v>
      </c>
      <c r="U92">
        <v>3.6760000000000002</v>
      </c>
      <c r="V92">
        <v>5.0229999999999997</v>
      </c>
      <c r="W92">
        <v>4.53</v>
      </c>
      <c r="X92">
        <v>4.2930000000000001</v>
      </c>
      <c r="Y92">
        <v>1.7889999999999999</v>
      </c>
      <c r="Z92">
        <v>1.5680000000000001</v>
      </c>
      <c r="AA92">
        <v>5.3440000000000003</v>
      </c>
      <c r="AB92">
        <v>5.6929999999999996</v>
      </c>
      <c r="AC92">
        <v>6.9420000000000002</v>
      </c>
      <c r="AD92">
        <v>7.1130000000000004</v>
      </c>
      <c r="AE92">
        <v>6.2969999999999997</v>
      </c>
      <c r="AF92">
        <v>6.5419999999999998</v>
      </c>
      <c r="AG92">
        <v>6.85</v>
      </c>
      <c r="AH92">
        <v>9.2210000000000001</v>
      </c>
      <c r="AI92">
        <v>10.066000000000001</v>
      </c>
      <c r="AJ92">
        <v>6.423</v>
      </c>
      <c r="AK92">
        <v>6.3140000000000001</v>
      </c>
      <c r="AL92">
        <v>7.9059999999999997</v>
      </c>
      <c r="AM92">
        <v>7.4509999999999996</v>
      </c>
      <c r="AN92">
        <v>10.532999999999999</v>
      </c>
      <c r="AO92">
        <v>3.6760000000000002</v>
      </c>
      <c r="AP92">
        <v>5.0229999999999997</v>
      </c>
    </row>
    <row r="93" spans="1:42" x14ac:dyDescent="0.2">
      <c r="A93" t="s">
        <v>252</v>
      </c>
      <c r="B93">
        <v>2.0720000000000001</v>
      </c>
      <c r="C93">
        <v>2.91</v>
      </c>
      <c r="D93">
        <v>3.0760000000000001</v>
      </c>
      <c r="E93">
        <v>3.0179999999999998</v>
      </c>
      <c r="F93">
        <v>2.649</v>
      </c>
      <c r="G93">
        <v>3.4159999999999999</v>
      </c>
      <c r="H93">
        <v>0.192</v>
      </c>
      <c r="I93">
        <v>0.19400000000000001</v>
      </c>
      <c r="J93">
        <v>2.2629999999999999</v>
      </c>
      <c r="K93">
        <v>2.31</v>
      </c>
      <c r="L93">
        <v>2.5169999999999999</v>
      </c>
      <c r="M93">
        <v>2.5640000000000001</v>
      </c>
      <c r="N93">
        <v>3.1269999999999998</v>
      </c>
      <c r="O93">
        <v>3.1779999999999999</v>
      </c>
      <c r="P93">
        <v>3.6160000000000001</v>
      </c>
      <c r="Q93">
        <v>3.8130000000000002</v>
      </c>
      <c r="R93">
        <v>1.226</v>
      </c>
      <c r="S93">
        <v>5.2729999999999997</v>
      </c>
      <c r="T93">
        <v>3.972</v>
      </c>
      <c r="U93">
        <v>3.6840000000000002</v>
      </c>
      <c r="V93">
        <v>5.0709999999999997</v>
      </c>
      <c r="W93">
        <v>4.5599999999999996</v>
      </c>
      <c r="X93">
        <v>4.3339999999999996</v>
      </c>
      <c r="Y93">
        <v>1.82</v>
      </c>
      <c r="Z93">
        <v>1.6160000000000001</v>
      </c>
      <c r="AA93">
        <v>5.3819999999999997</v>
      </c>
      <c r="AB93">
        <v>5.7380000000000004</v>
      </c>
      <c r="AC93">
        <v>6.9660000000000002</v>
      </c>
      <c r="AD93">
        <v>7.1319999999999997</v>
      </c>
      <c r="AE93">
        <v>6.3419999999999996</v>
      </c>
      <c r="AF93">
        <v>6.6360000000000001</v>
      </c>
      <c r="AG93">
        <v>6.9539999999999997</v>
      </c>
      <c r="AH93">
        <v>9.3469999999999995</v>
      </c>
      <c r="AI93">
        <v>10.179</v>
      </c>
      <c r="AJ93">
        <v>6.59</v>
      </c>
      <c r="AK93">
        <v>6.3689999999999998</v>
      </c>
      <c r="AL93">
        <v>7.9340000000000002</v>
      </c>
      <c r="AM93">
        <v>7.5720000000000001</v>
      </c>
      <c r="AN93">
        <v>10.682</v>
      </c>
      <c r="AO93">
        <v>3.6840000000000002</v>
      </c>
      <c r="AP93">
        <v>5.0709999999999997</v>
      </c>
    </row>
    <row r="94" spans="1:42" x14ac:dyDescent="0.2">
      <c r="A94" t="s">
        <v>253</v>
      </c>
      <c r="B94">
        <v>2.0819999999999999</v>
      </c>
      <c r="C94">
        <v>2.9529999999999998</v>
      </c>
      <c r="D94">
        <v>3.0920000000000001</v>
      </c>
      <c r="E94">
        <v>3.0339999999999998</v>
      </c>
      <c r="F94">
        <v>2.6779999999999999</v>
      </c>
      <c r="G94">
        <v>3.4489999999999998</v>
      </c>
      <c r="H94">
        <v>0.19700000000000001</v>
      </c>
      <c r="I94">
        <v>0.20300000000000001</v>
      </c>
      <c r="J94">
        <v>2.2770000000000001</v>
      </c>
      <c r="K94">
        <v>2.3260000000000001</v>
      </c>
      <c r="L94">
        <v>2.5299999999999998</v>
      </c>
      <c r="M94">
        <v>2.577</v>
      </c>
      <c r="N94">
        <v>3.1789999999999998</v>
      </c>
      <c r="O94">
        <v>3.2320000000000002</v>
      </c>
      <c r="P94">
        <v>3.6760000000000002</v>
      </c>
      <c r="Q94">
        <v>3.8730000000000002</v>
      </c>
      <c r="R94">
        <v>1.2270000000000001</v>
      </c>
      <c r="S94">
        <v>5.3239999999999998</v>
      </c>
      <c r="T94">
        <v>3.9969999999999999</v>
      </c>
      <c r="U94">
        <v>3.6920000000000002</v>
      </c>
      <c r="V94">
        <v>5.1180000000000003</v>
      </c>
      <c r="W94">
        <v>4.59</v>
      </c>
      <c r="X94">
        <v>4.3739999999999997</v>
      </c>
      <c r="Y94">
        <v>1.851</v>
      </c>
      <c r="Z94">
        <v>1.6659999999999999</v>
      </c>
      <c r="AA94">
        <v>5.4189999999999996</v>
      </c>
      <c r="AB94">
        <v>5.7830000000000004</v>
      </c>
      <c r="AC94">
        <v>6.9889999999999999</v>
      </c>
      <c r="AD94">
        <v>7.149</v>
      </c>
      <c r="AE94">
        <v>6.3849999999999998</v>
      </c>
      <c r="AF94">
        <v>6.73</v>
      </c>
      <c r="AG94">
        <v>7.0579999999999998</v>
      </c>
      <c r="AH94">
        <v>9.4700000000000006</v>
      </c>
      <c r="AI94">
        <v>10.29</v>
      </c>
      <c r="AJ94">
        <v>6.7549999999999999</v>
      </c>
      <c r="AK94">
        <v>6.4240000000000004</v>
      </c>
      <c r="AL94">
        <v>7.9610000000000003</v>
      </c>
      <c r="AM94">
        <v>7.6929999999999996</v>
      </c>
      <c r="AN94">
        <v>10.827999999999999</v>
      </c>
      <c r="AO94">
        <v>3.6920000000000002</v>
      </c>
      <c r="AP94">
        <v>5.1180000000000003</v>
      </c>
    </row>
    <row r="95" spans="1:42" x14ac:dyDescent="0.2">
      <c r="A95" t="s">
        <v>254</v>
      </c>
      <c r="B95">
        <v>2.0920000000000001</v>
      </c>
      <c r="C95">
        <v>2.996</v>
      </c>
      <c r="D95">
        <v>3.1080000000000001</v>
      </c>
      <c r="E95">
        <v>3.0489999999999999</v>
      </c>
      <c r="F95">
        <v>2.7069999999999999</v>
      </c>
      <c r="G95">
        <v>3.4809999999999999</v>
      </c>
      <c r="H95">
        <v>0.20200000000000001</v>
      </c>
      <c r="I95">
        <v>0.21299999999999999</v>
      </c>
      <c r="J95">
        <v>2.2909999999999999</v>
      </c>
      <c r="K95">
        <v>2.3410000000000002</v>
      </c>
      <c r="L95">
        <v>2.544</v>
      </c>
      <c r="M95">
        <v>2.59</v>
      </c>
      <c r="N95">
        <v>3.23</v>
      </c>
      <c r="O95">
        <v>3.2850000000000001</v>
      </c>
      <c r="P95">
        <v>3.7349999999999999</v>
      </c>
      <c r="Q95">
        <v>3.9319999999999999</v>
      </c>
      <c r="R95">
        <v>1.228</v>
      </c>
      <c r="S95">
        <v>5.3730000000000002</v>
      </c>
      <c r="T95">
        <v>4.0220000000000002</v>
      </c>
      <c r="U95">
        <v>3.7</v>
      </c>
      <c r="V95">
        <v>5.1639999999999997</v>
      </c>
      <c r="W95">
        <v>4.6189999999999998</v>
      </c>
      <c r="X95">
        <v>4.4130000000000003</v>
      </c>
      <c r="Y95">
        <v>1.883</v>
      </c>
      <c r="Z95">
        <v>1.716</v>
      </c>
      <c r="AA95">
        <v>5.4560000000000004</v>
      </c>
      <c r="AB95">
        <v>5.8280000000000003</v>
      </c>
      <c r="AC95">
        <v>7.0110000000000001</v>
      </c>
      <c r="AD95">
        <v>7.1660000000000004</v>
      </c>
      <c r="AE95">
        <v>6.4269999999999996</v>
      </c>
      <c r="AF95">
        <v>6.8239999999999998</v>
      </c>
      <c r="AG95">
        <v>7.1609999999999996</v>
      </c>
      <c r="AH95">
        <v>9.5920000000000005</v>
      </c>
      <c r="AI95">
        <v>10.398999999999999</v>
      </c>
      <c r="AJ95">
        <v>6.9180000000000001</v>
      </c>
      <c r="AK95">
        <v>6.48</v>
      </c>
      <c r="AL95">
        <v>7.9870000000000001</v>
      </c>
      <c r="AM95">
        <v>7.8140000000000001</v>
      </c>
      <c r="AN95">
        <v>10.972</v>
      </c>
      <c r="AO95">
        <v>3.7</v>
      </c>
      <c r="AP95">
        <v>5.1639999999999997</v>
      </c>
    </row>
    <row r="96" spans="1:42" x14ac:dyDescent="0.2">
      <c r="A96" t="s">
        <v>255</v>
      </c>
      <c r="B96">
        <v>2.101</v>
      </c>
      <c r="C96">
        <v>3.0390000000000001</v>
      </c>
      <c r="D96">
        <v>3.1240000000000001</v>
      </c>
      <c r="E96">
        <v>3.0640000000000001</v>
      </c>
      <c r="F96">
        <v>2.7349999999999999</v>
      </c>
      <c r="G96">
        <v>3.5139999999999998</v>
      </c>
      <c r="H96">
        <v>0.20599999999999999</v>
      </c>
      <c r="I96">
        <v>0.222</v>
      </c>
      <c r="J96">
        <v>2.3050000000000002</v>
      </c>
      <c r="K96">
        <v>2.3559999999999999</v>
      </c>
      <c r="L96">
        <v>2.5569999999999999</v>
      </c>
      <c r="M96">
        <v>2.6019999999999999</v>
      </c>
      <c r="N96">
        <v>3.282</v>
      </c>
      <c r="O96">
        <v>3.339</v>
      </c>
      <c r="P96">
        <v>3.7949999999999999</v>
      </c>
      <c r="Q96">
        <v>3.99</v>
      </c>
      <c r="R96">
        <v>1.2290000000000001</v>
      </c>
      <c r="S96">
        <v>5.4219999999999997</v>
      </c>
      <c r="T96">
        <v>4.0460000000000003</v>
      </c>
      <c r="U96">
        <v>3.7069999999999999</v>
      </c>
      <c r="V96">
        <v>5.21</v>
      </c>
      <c r="W96">
        <v>4.6470000000000002</v>
      </c>
      <c r="X96">
        <v>4.452</v>
      </c>
      <c r="Y96">
        <v>1.9139999999999999</v>
      </c>
      <c r="Z96">
        <v>1.766</v>
      </c>
      <c r="AA96">
        <v>5.4930000000000003</v>
      </c>
      <c r="AB96">
        <v>5.8730000000000002</v>
      </c>
      <c r="AC96">
        <v>7.032</v>
      </c>
      <c r="AD96">
        <v>7.1829999999999998</v>
      </c>
      <c r="AE96">
        <v>6.4669999999999996</v>
      </c>
      <c r="AF96">
        <v>6.9169999999999998</v>
      </c>
      <c r="AG96">
        <v>7.2640000000000002</v>
      </c>
      <c r="AH96">
        <v>9.7110000000000003</v>
      </c>
      <c r="AI96">
        <v>10.506</v>
      </c>
      <c r="AJ96">
        <v>7.0789999999999997</v>
      </c>
      <c r="AK96">
        <v>6.5359999999999996</v>
      </c>
      <c r="AL96">
        <v>8.0120000000000005</v>
      </c>
      <c r="AM96">
        <v>7.9349999999999996</v>
      </c>
      <c r="AN96">
        <v>11.114000000000001</v>
      </c>
      <c r="AO96">
        <v>3.7069999999999999</v>
      </c>
      <c r="AP96">
        <v>5.21</v>
      </c>
    </row>
    <row r="97" spans="1:42" x14ac:dyDescent="0.2">
      <c r="A97" t="s">
        <v>256</v>
      </c>
      <c r="B97">
        <v>2.11</v>
      </c>
      <c r="C97">
        <v>3.081</v>
      </c>
      <c r="D97">
        <v>3.1389999999999998</v>
      </c>
      <c r="E97">
        <v>3.0779999999999998</v>
      </c>
      <c r="F97">
        <v>2.7629999999999999</v>
      </c>
      <c r="G97">
        <v>3.5449999999999999</v>
      </c>
      <c r="H97">
        <v>0.21099999999999999</v>
      </c>
      <c r="I97">
        <v>0.23200000000000001</v>
      </c>
      <c r="J97">
        <v>2.3180000000000001</v>
      </c>
      <c r="K97">
        <v>2.3719999999999999</v>
      </c>
      <c r="L97">
        <v>2.569</v>
      </c>
      <c r="M97">
        <v>2.6139999999999999</v>
      </c>
      <c r="N97">
        <v>3.3330000000000002</v>
      </c>
      <c r="O97">
        <v>3.3919999999999999</v>
      </c>
      <c r="P97">
        <v>3.8540000000000001</v>
      </c>
      <c r="Q97">
        <v>4.048</v>
      </c>
      <c r="R97">
        <v>1.2310000000000001</v>
      </c>
      <c r="S97">
        <v>5.4690000000000003</v>
      </c>
      <c r="T97">
        <v>4.07</v>
      </c>
      <c r="U97">
        <v>3.714</v>
      </c>
      <c r="V97">
        <v>5.2549999999999999</v>
      </c>
      <c r="W97">
        <v>4.6749999999999998</v>
      </c>
      <c r="X97">
        <v>4.4909999999999997</v>
      </c>
      <c r="Y97">
        <v>1.946</v>
      </c>
      <c r="Z97">
        <v>1.8160000000000001</v>
      </c>
      <c r="AA97">
        <v>5.53</v>
      </c>
      <c r="AB97">
        <v>5.9180000000000001</v>
      </c>
      <c r="AC97">
        <v>7.0529999999999999</v>
      </c>
      <c r="AD97">
        <v>7.1989999999999998</v>
      </c>
      <c r="AE97">
        <v>6.5060000000000002</v>
      </c>
      <c r="AF97">
        <v>7.01</v>
      </c>
      <c r="AG97">
        <v>7.3659999999999997</v>
      </c>
      <c r="AH97">
        <v>9.8290000000000006</v>
      </c>
      <c r="AI97">
        <v>10.611000000000001</v>
      </c>
      <c r="AJ97">
        <v>7.2380000000000004</v>
      </c>
      <c r="AK97">
        <v>6.5910000000000002</v>
      </c>
      <c r="AL97">
        <v>8.0370000000000008</v>
      </c>
      <c r="AM97">
        <v>8.0559999999999992</v>
      </c>
      <c r="AN97">
        <v>11.253</v>
      </c>
      <c r="AO97">
        <v>3.714</v>
      </c>
      <c r="AP97">
        <v>5.2549999999999999</v>
      </c>
    </row>
    <row r="98" spans="1:42" x14ac:dyDescent="0.2">
      <c r="A98" t="s">
        <v>257</v>
      </c>
      <c r="B98">
        <v>2.12</v>
      </c>
      <c r="C98">
        <v>3.1219999999999999</v>
      </c>
      <c r="D98">
        <v>3.1539999999999999</v>
      </c>
      <c r="E98">
        <v>3.093</v>
      </c>
      <c r="F98">
        <v>2.79</v>
      </c>
      <c r="G98">
        <v>3.577</v>
      </c>
      <c r="H98">
        <v>0.216</v>
      </c>
      <c r="I98">
        <v>0.24199999999999999</v>
      </c>
      <c r="J98">
        <v>2.3319999999999999</v>
      </c>
      <c r="K98">
        <v>2.387</v>
      </c>
      <c r="L98">
        <v>2.5819999999999999</v>
      </c>
      <c r="M98">
        <v>2.625</v>
      </c>
      <c r="N98">
        <v>3.383</v>
      </c>
      <c r="O98">
        <v>3.4449999999999998</v>
      </c>
      <c r="P98">
        <v>3.9119999999999999</v>
      </c>
      <c r="Q98">
        <v>4.1050000000000004</v>
      </c>
      <c r="R98">
        <v>1.2330000000000001</v>
      </c>
      <c r="S98">
        <v>5.516</v>
      </c>
      <c r="T98">
        <v>4.0940000000000003</v>
      </c>
      <c r="U98">
        <v>3.7210000000000001</v>
      </c>
      <c r="V98">
        <v>5.298</v>
      </c>
      <c r="W98">
        <v>4.702</v>
      </c>
      <c r="X98">
        <v>4.5289999999999999</v>
      </c>
      <c r="Y98">
        <v>1.9770000000000001</v>
      </c>
      <c r="Z98">
        <v>1.867</v>
      </c>
      <c r="AA98">
        <v>5.5659999999999998</v>
      </c>
      <c r="AB98">
        <v>5.9630000000000001</v>
      </c>
      <c r="AC98">
        <v>7.0730000000000004</v>
      </c>
      <c r="AD98">
        <v>7.2140000000000004</v>
      </c>
      <c r="AE98">
        <v>6.5439999999999996</v>
      </c>
      <c r="AF98">
        <v>7.1020000000000003</v>
      </c>
      <c r="AG98">
        <v>7.468</v>
      </c>
      <c r="AH98">
        <v>9.9440000000000008</v>
      </c>
      <c r="AI98">
        <v>10.714</v>
      </c>
      <c r="AJ98">
        <v>7.3959999999999999</v>
      </c>
      <c r="AK98">
        <v>6.6479999999999997</v>
      </c>
      <c r="AL98">
        <v>8.06</v>
      </c>
      <c r="AM98">
        <v>8.1760000000000002</v>
      </c>
      <c r="AN98">
        <v>11.391</v>
      </c>
      <c r="AO98">
        <v>3.7210000000000001</v>
      </c>
      <c r="AP98">
        <v>5.298</v>
      </c>
    </row>
    <row r="99" spans="1:42" x14ac:dyDescent="0.2">
      <c r="A99" t="s">
        <v>258</v>
      </c>
      <c r="B99">
        <v>2.129</v>
      </c>
      <c r="C99">
        <v>3.1629999999999998</v>
      </c>
      <c r="D99">
        <v>3.169</v>
      </c>
      <c r="E99">
        <v>3.1059999999999999</v>
      </c>
      <c r="F99">
        <v>2.8180000000000001</v>
      </c>
      <c r="G99">
        <v>3.6080000000000001</v>
      </c>
      <c r="H99">
        <v>0.221</v>
      </c>
      <c r="I99">
        <v>0.252</v>
      </c>
      <c r="J99">
        <v>2.3450000000000002</v>
      </c>
      <c r="K99">
        <v>2.4020000000000001</v>
      </c>
      <c r="L99">
        <v>2.5939999999999999</v>
      </c>
      <c r="M99">
        <v>2.637</v>
      </c>
      <c r="N99">
        <v>3.4340000000000002</v>
      </c>
      <c r="O99">
        <v>3.4980000000000002</v>
      </c>
      <c r="P99">
        <v>3.97</v>
      </c>
      <c r="Q99">
        <v>4.1619999999999999</v>
      </c>
      <c r="R99">
        <v>1.2350000000000001</v>
      </c>
      <c r="S99">
        <v>5.5620000000000003</v>
      </c>
      <c r="T99">
        <v>4.1159999999999997</v>
      </c>
      <c r="U99">
        <v>3.7280000000000002</v>
      </c>
      <c r="V99">
        <v>5.3410000000000002</v>
      </c>
      <c r="W99">
        <v>4.7290000000000001</v>
      </c>
      <c r="X99">
        <v>4.5659999999999998</v>
      </c>
      <c r="Y99">
        <v>2.0089999999999999</v>
      </c>
      <c r="Z99">
        <v>1.9179999999999999</v>
      </c>
      <c r="AA99">
        <v>5.6029999999999998</v>
      </c>
      <c r="AB99">
        <v>6.0090000000000003</v>
      </c>
      <c r="AC99">
        <v>7.093</v>
      </c>
      <c r="AD99">
        <v>7.2290000000000001</v>
      </c>
      <c r="AE99">
        <v>6.58</v>
      </c>
      <c r="AF99">
        <v>7.194</v>
      </c>
      <c r="AG99">
        <v>7.569</v>
      </c>
      <c r="AH99">
        <v>10.058</v>
      </c>
      <c r="AI99">
        <v>10.815</v>
      </c>
      <c r="AJ99">
        <v>7.5510000000000002</v>
      </c>
      <c r="AK99">
        <v>6.7039999999999997</v>
      </c>
      <c r="AL99">
        <v>8.0830000000000002</v>
      </c>
      <c r="AM99">
        <v>8.2949999999999999</v>
      </c>
      <c r="AN99">
        <v>11.525</v>
      </c>
      <c r="AO99">
        <v>3.7280000000000002</v>
      </c>
      <c r="AP99">
        <v>5.3410000000000002</v>
      </c>
    </row>
    <row r="100" spans="1:42" x14ac:dyDescent="0.2">
      <c r="A100" t="s">
        <v>259</v>
      </c>
      <c r="B100">
        <v>2.137</v>
      </c>
      <c r="C100">
        <v>3.2040000000000002</v>
      </c>
      <c r="D100">
        <v>3.1829999999999998</v>
      </c>
      <c r="E100">
        <v>3.12</v>
      </c>
      <c r="F100">
        <v>2.8450000000000002</v>
      </c>
      <c r="G100">
        <v>3.6389999999999998</v>
      </c>
      <c r="H100">
        <v>0.22600000000000001</v>
      </c>
      <c r="I100">
        <v>0.26200000000000001</v>
      </c>
      <c r="J100">
        <v>2.359</v>
      </c>
      <c r="K100">
        <v>2.4159999999999999</v>
      </c>
      <c r="L100">
        <v>2.6059999999999999</v>
      </c>
      <c r="M100">
        <v>2.6480000000000001</v>
      </c>
      <c r="N100">
        <v>3.484</v>
      </c>
      <c r="O100">
        <v>3.5510000000000002</v>
      </c>
      <c r="P100">
        <v>4.0279999999999996</v>
      </c>
      <c r="Q100">
        <v>4.2190000000000003</v>
      </c>
      <c r="R100">
        <v>1.2370000000000001</v>
      </c>
      <c r="S100">
        <v>5.6070000000000002</v>
      </c>
      <c r="T100">
        <v>4.1390000000000002</v>
      </c>
      <c r="U100">
        <v>3.734</v>
      </c>
      <c r="V100">
        <v>5.383</v>
      </c>
      <c r="W100">
        <v>4.7549999999999999</v>
      </c>
      <c r="X100">
        <v>4.6040000000000001</v>
      </c>
      <c r="Y100">
        <v>2.04</v>
      </c>
      <c r="Z100">
        <v>1.97</v>
      </c>
      <c r="AA100">
        <v>5.6390000000000002</v>
      </c>
      <c r="AB100">
        <v>6.0549999999999997</v>
      </c>
      <c r="AC100">
        <v>7.1120000000000001</v>
      </c>
      <c r="AD100">
        <v>7.2439999999999998</v>
      </c>
      <c r="AE100">
        <v>6.6150000000000002</v>
      </c>
      <c r="AF100">
        <v>7.2859999999999996</v>
      </c>
      <c r="AG100">
        <v>7.6710000000000003</v>
      </c>
      <c r="AH100">
        <v>10.169</v>
      </c>
      <c r="AI100">
        <v>10.914</v>
      </c>
      <c r="AJ100">
        <v>7.7039999999999997</v>
      </c>
      <c r="AK100">
        <v>6.7610000000000001</v>
      </c>
      <c r="AL100">
        <v>8.1050000000000004</v>
      </c>
      <c r="AM100">
        <v>8.4149999999999991</v>
      </c>
      <c r="AN100">
        <v>11.657999999999999</v>
      </c>
      <c r="AO100">
        <v>3.734</v>
      </c>
      <c r="AP100">
        <v>5.383</v>
      </c>
    </row>
    <row r="101" spans="1:42" x14ac:dyDescent="0.2">
      <c r="A101" t="s">
        <v>260</v>
      </c>
      <c r="B101">
        <v>2.1459999999999999</v>
      </c>
      <c r="C101">
        <v>3.2450000000000001</v>
      </c>
      <c r="D101">
        <v>3.1970000000000001</v>
      </c>
      <c r="E101">
        <v>3.1339999999999999</v>
      </c>
      <c r="F101">
        <v>2.8719999999999999</v>
      </c>
      <c r="G101">
        <v>3.669</v>
      </c>
      <c r="H101">
        <v>0.23100000000000001</v>
      </c>
      <c r="I101">
        <v>0.27200000000000002</v>
      </c>
      <c r="J101">
        <v>2.3719999999999999</v>
      </c>
      <c r="K101">
        <v>2.431</v>
      </c>
      <c r="L101">
        <v>2.6179999999999999</v>
      </c>
      <c r="M101">
        <v>2.6589999999999998</v>
      </c>
      <c r="N101">
        <v>3.5339999999999998</v>
      </c>
      <c r="O101">
        <v>3.6030000000000002</v>
      </c>
      <c r="P101">
        <v>4.085</v>
      </c>
      <c r="Q101">
        <v>4.2750000000000004</v>
      </c>
      <c r="R101">
        <v>1.2390000000000001</v>
      </c>
      <c r="S101">
        <v>5.6509999999999998</v>
      </c>
      <c r="T101">
        <v>4.1609999999999996</v>
      </c>
      <c r="U101">
        <v>3.74</v>
      </c>
      <c r="V101">
        <v>5.4240000000000004</v>
      </c>
      <c r="W101">
        <v>4.7809999999999997</v>
      </c>
      <c r="X101">
        <v>4.6399999999999997</v>
      </c>
      <c r="Y101">
        <v>2.0720000000000001</v>
      </c>
      <c r="Z101">
        <v>2.0209999999999999</v>
      </c>
      <c r="AA101">
        <v>5.6749999999999998</v>
      </c>
      <c r="AB101">
        <v>6.101</v>
      </c>
      <c r="AC101">
        <v>7.13</v>
      </c>
      <c r="AD101">
        <v>7.258</v>
      </c>
      <c r="AE101">
        <v>6.65</v>
      </c>
      <c r="AF101">
        <v>7.3760000000000003</v>
      </c>
      <c r="AG101">
        <v>7.7709999999999999</v>
      </c>
      <c r="AH101">
        <v>10.279</v>
      </c>
      <c r="AI101">
        <v>11.010999999999999</v>
      </c>
      <c r="AJ101">
        <v>7.8550000000000004</v>
      </c>
      <c r="AK101">
        <v>6.8179999999999996</v>
      </c>
      <c r="AL101">
        <v>8.1270000000000007</v>
      </c>
      <c r="AM101">
        <v>8.5340000000000007</v>
      </c>
      <c r="AN101">
        <v>11.788</v>
      </c>
      <c r="AO101">
        <v>3.74</v>
      </c>
      <c r="AP101">
        <v>5.4240000000000004</v>
      </c>
    </row>
    <row r="102" spans="1:42" x14ac:dyDescent="0.2">
      <c r="A102" t="s">
        <v>261</v>
      </c>
      <c r="B102">
        <v>2.1549999999999998</v>
      </c>
      <c r="C102">
        <v>3.2850000000000001</v>
      </c>
      <c r="D102">
        <v>3.2109999999999999</v>
      </c>
      <c r="E102">
        <v>3.1469999999999998</v>
      </c>
      <c r="F102">
        <v>2.8980000000000001</v>
      </c>
      <c r="G102">
        <v>3.6989999999999998</v>
      </c>
      <c r="H102">
        <v>0.23599999999999999</v>
      </c>
      <c r="I102">
        <v>0.28299999999999997</v>
      </c>
      <c r="J102">
        <v>2.3849999999999998</v>
      </c>
      <c r="K102">
        <v>2.4460000000000002</v>
      </c>
      <c r="L102">
        <v>2.63</v>
      </c>
      <c r="M102">
        <v>2.67</v>
      </c>
      <c r="N102">
        <v>3.5840000000000001</v>
      </c>
      <c r="O102">
        <v>3.6549999999999998</v>
      </c>
      <c r="P102">
        <v>4.141</v>
      </c>
      <c r="Q102">
        <v>4.33</v>
      </c>
      <c r="R102">
        <v>1.2410000000000001</v>
      </c>
      <c r="S102">
        <v>5.694</v>
      </c>
      <c r="T102">
        <v>4.1820000000000004</v>
      </c>
      <c r="U102">
        <v>3.746</v>
      </c>
      <c r="V102">
        <v>5.4640000000000004</v>
      </c>
      <c r="W102">
        <v>4.806</v>
      </c>
      <c r="X102">
        <v>4.6760000000000002</v>
      </c>
      <c r="Y102">
        <v>2.1040000000000001</v>
      </c>
      <c r="Z102">
        <v>2.0739999999999998</v>
      </c>
      <c r="AA102">
        <v>5.7110000000000003</v>
      </c>
      <c r="AB102">
        <v>6.1470000000000002</v>
      </c>
      <c r="AC102">
        <v>7.1470000000000002</v>
      </c>
      <c r="AD102">
        <v>7.2709999999999999</v>
      </c>
      <c r="AE102">
        <v>6.6829999999999998</v>
      </c>
      <c r="AF102">
        <v>7.4669999999999996</v>
      </c>
      <c r="AG102">
        <v>7.8719999999999999</v>
      </c>
      <c r="AH102">
        <v>10.387</v>
      </c>
      <c r="AI102">
        <v>11.106</v>
      </c>
      <c r="AJ102">
        <v>8.0030000000000001</v>
      </c>
      <c r="AK102">
        <v>6.8760000000000003</v>
      </c>
      <c r="AL102">
        <v>8.1479999999999997</v>
      </c>
      <c r="AM102">
        <v>8.6530000000000005</v>
      </c>
      <c r="AN102">
        <v>11.916</v>
      </c>
      <c r="AO102">
        <v>3.746</v>
      </c>
      <c r="AP102">
        <v>5.4640000000000004</v>
      </c>
    </row>
    <row r="103" spans="1:42" x14ac:dyDescent="0.2">
      <c r="A103" t="s">
        <v>262</v>
      </c>
      <c r="B103">
        <v>2.1629999999999998</v>
      </c>
      <c r="C103">
        <v>3.3250000000000002</v>
      </c>
      <c r="D103">
        <v>3.2250000000000001</v>
      </c>
      <c r="E103">
        <v>3.16</v>
      </c>
      <c r="F103">
        <v>2.9239999999999999</v>
      </c>
      <c r="G103">
        <v>3.7280000000000002</v>
      </c>
      <c r="H103">
        <v>0.24199999999999999</v>
      </c>
      <c r="I103">
        <v>0.29299999999999998</v>
      </c>
      <c r="J103">
        <v>2.3980000000000001</v>
      </c>
      <c r="K103">
        <v>2.46</v>
      </c>
      <c r="L103">
        <v>2.641</v>
      </c>
      <c r="M103">
        <v>2.681</v>
      </c>
      <c r="N103">
        <v>3.6339999999999999</v>
      </c>
      <c r="O103">
        <v>3.7069999999999999</v>
      </c>
      <c r="P103">
        <v>4.1970000000000001</v>
      </c>
      <c r="Q103">
        <v>4.3849999999999998</v>
      </c>
      <c r="R103">
        <v>1.2430000000000001</v>
      </c>
      <c r="S103">
        <v>5.7370000000000001</v>
      </c>
      <c r="T103">
        <v>4.2030000000000003</v>
      </c>
      <c r="U103">
        <v>3.7519999999999998</v>
      </c>
      <c r="V103">
        <v>5.5039999999999996</v>
      </c>
      <c r="W103">
        <v>4.83</v>
      </c>
      <c r="X103">
        <v>4.7119999999999997</v>
      </c>
      <c r="Y103">
        <v>2.1360000000000001</v>
      </c>
      <c r="Z103">
        <v>2.1259999999999999</v>
      </c>
      <c r="AA103">
        <v>5.7469999999999999</v>
      </c>
      <c r="AB103">
        <v>6.194</v>
      </c>
      <c r="AC103">
        <v>7.165</v>
      </c>
      <c r="AD103">
        <v>7.2839999999999998</v>
      </c>
      <c r="AE103">
        <v>6.7149999999999999</v>
      </c>
      <c r="AF103">
        <v>7.5570000000000004</v>
      </c>
      <c r="AG103">
        <v>7.9720000000000004</v>
      </c>
      <c r="AH103">
        <v>10.492000000000001</v>
      </c>
      <c r="AI103">
        <v>11.2</v>
      </c>
      <c r="AJ103">
        <v>8.15</v>
      </c>
      <c r="AK103">
        <v>6.9340000000000002</v>
      </c>
      <c r="AL103">
        <v>8.1679999999999993</v>
      </c>
      <c r="AM103">
        <v>8.7720000000000002</v>
      </c>
      <c r="AN103">
        <v>12.042</v>
      </c>
      <c r="AO103">
        <v>3.7519999999999998</v>
      </c>
      <c r="AP103">
        <v>5.5039999999999996</v>
      </c>
    </row>
    <row r="104" spans="1:42" x14ac:dyDescent="0.2">
      <c r="A104" t="s">
        <v>263</v>
      </c>
      <c r="B104">
        <v>2.1709999999999998</v>
      </c>
      <c r="C104">
        <v>3.3639999999999999</v>
      </c>
      <c r="D104">
        <v>3.238</v>
      </c>
      <c r="E104">
        <v>3.1720000000000002</v>
      </c>
      <c r="F104">
        <v>2.95</v>
      </c>
      <c r="G104">
        <v>3.7570000000000001</v>
      </c>
      <c r="H104">
        <v>0.247</v>
      </c>
      <c r="I104">
        <v>0.30399999999999999</v>
      </c>
      <c r="J104">
        <v>2.411</v>
      </c>
      <c r="K104">
        <v>2.4750000000000001</v>
      </c>
      <c r="L104">
        <v>2.653</v>
      </c>
      <c r="M104">
        <v>2.6920000000000002</v>
      </c>
      <c r="N104">
        <v>3.6829999999999998</v>
      </c>
      <c r="O104">
        <v>3.7589999999999999</v>
      </c>
      <c r="P104">
        <v>4.2530000000000001</v>
      </c>
      <c r="Q104">
        <v>4.4390000000000001</v>
      </c>
      <c r="R104">
        <v>1.246</v>
      </c>
      <c r="S104">
        <v>5.7789999999999999</v>
      </c>
      <c r="T104">
        <v>4.2240000000000002</v>
      </c>
      <c r="U104">
        <v>3.758</v>
      </c>
      <c r="V104">
        <v>5.5419999999999998</v>
      </c>
      <c r="W104">
        <v>4.8540000000000001</v>
      </c>
      <c r="X104">
        <v>4.7469999999999999</v>
      </c>
      <c r="Y104">
        <v>2.1680000000000001</v>
      </c>
      <c r="Z104">
        <v>2.1789999999999998</v>
      </c>
      <c r="AA104">
        <v>5.7830000000000004</v>
      </c>
      <c r="AB104">
        <v>6.24</v>
      </c>
      <c r="AC104">
        <v>7.181</v>
      </c>
      <c r="AD104">
        <v>7.2969999999999997</v>
      </c>
      <c r="AE104">
        <v>6.7460000000000004</v>
      </c>
      <c r="AF104">
        <v>7.6459999999999999</v>
      </c>
      <c r="AG104">
        <v>8.0719999999999992</v>
      </c>
      <c r="AH104">
        <v>10.596</v>
      </c>
      <c r="AI104">
        <v>11.291</v>
      </c>
      <c r="AJ104">
        <v>8.2949999999999999</v>
      </c>
      <c r="AK104">
        <v>6.9909999999999997</v>
      </c>
      <c r="AL104">
        <v>8.1869999999999994</v>
      </c>
      <c r="AM104">
        <v>8.8919999999999995</v>
      </c>
      <c r="AN104">
        <v>12.164999999999999</v>
      </c>
      <c r="AO104">
        <v>3.758</v>
      </c>
      <c r="AP104">
        <v>5.5419999999999998</v>
      </c>
    </row>
    <row r="105" spans="1:42" x14ac:dyDescent="0.2">
      <c r="A105" t="s">
        <v>264</v>
      </c>
      <c r="B105">
        <v>2.1789999999999998</v>
      </c>
      <c r="C105">
        <v>3.403</v>
      </c>
      <c r="D105">
        <v>3.2509999999999999</v>
      </c>
      <c r="E105">
        <v>3.1850000000000001</v>
      </c>
      <c r="F105">
        <v>2.976</v>
      </c>
      <c r="G105">
        <v>3.786</v>
      </c>
      <c r="H105">
        <v>0.252</v>
      </c>
      <c r="I105">
        <v>0.315</v>
      </c>
      <c r="J105">
        <v>2.423</v>
      </c>
      <c r="K105">
        <v>2.4889999999999999</v>
      </c>
      <c r="L105">
        <v>2.6640000000000001</v>
      </c>
      <c r="M105">
        <v>2.702</v>
      </c>
      <c r="N105">
        <v>3.7320000000000002</v>
      </c>
      <c r="O105">
        <v>3.8109999999999999</v>
      </c>
      <c r="P105">
        <v>4.3079999999999998</v>
      </c>
      <c r="Q105">
        <v>4.4930000000000003</v>
      </c>
      <c r="R105">
        <v>1.2490000000000001</v>
      </c>
      <c r="S105">
        <v>5.819</v>
      </c>
      <c r="T105">
        <v>4.2439999999999998</v>
      </c>
      <c r="U105">
        <v>3.7629999999999999</v>
      </c>
      <c r="V105">
        <v>5.58</v>
      </c>
      <c r="W105">
        <v>4.8769999999999998</v>
      </c>
      <c r="X105">
        <v>4.7809999999999997</v>
      </c>
      <c r="Y105">
        <v>2.2000000000000002</v>
      </c>
      <c r="Z105">
        <v>2.2320000000000002</v>
      </c>
      <c r="AA105">
        <v>5.819</v>
      </c>
      <c r="AB105">
        <v>6.2839999999999998</v>
      </c>
      <c r="AC105">
        <v>7.1970000000000001</v>
      </c>
      <c r="AD105">
        <v>7.3090000000000002</v>
      </c>
      <c r="AE105">
        <v>6.7759999999999998</v>
      </c>
      <c r="AF105">
        <v>7.7350000000000003</v>
      </c>
      <c r="AG105">
        <v>8.1739999999999995</v>
      </c>
      <c r="AH105">
        <v>10.698</v>
      </c>
      <c r="AI105">
        <v>11.381</v>
      </c>
      <c r="AJ105">
        <v>8.4369999999999994</v>
      </c>
      <c r="AK105">
        <v>7.0460000000000003</v>
      </c>
      <c r="AL105">
        <v>8.2059999999999995</v>
      </c>
      <c r="AM105">
        <v>9.0129999999999999</v>
      </c>
      <c r="AN105">
        <v>12.286</v>
      </c>
      <c r="AO105">
        <v>3.7629999999999999</v>
      </c>
      <c r="AP105">
        <v>5.58</v>
      </c>
    </row>
    <row r="106" spans="1:42" x14ac:dyDescent="0.2">
      <c r="A106" t="s">
        <v>265</v>
      </c>
      <c r="B106">
        <v>2.1869999999999998</v>
      </c>
      <c r="C106">
        <v>3.4420000000000002</v>
      </c>
      <c r="D106">
        <v>3.2629999999999999</v>
      </c>
      <c r="E106">
        <v>3.1970000000000001</v>
      </c>
      <c r="F106">
        <v>3.0009999999999999</v>
      </c>
      <c r="G106">
        <v>3.8149999999999999</v>
      </c>
      <c r="H106">
        <v>0.25700000000000001</v>
      </c>
      <c r="I106">
        <v>0.32600000000000001</v>
      </c>
      <c r="J106">
        <v>2.4359999999999999</v>
      </c>
      <c r="K106">
        <v>2.5030000000000001</v>
      </c>
      <c r="L106">
        <v>2.6739999999999999</v>
      </c>
      <c r="M106">
        <v>2.7120000000000002</v>
      </c>
      <c r="N106">
        <v>3.7810000000000001</v>
      </c>
      <c r="O106">
        <v>3.863</v>
      </c>
      <c r="P106">
        <v>4.3630000000000004</v>
      </c>
      <c r="Q106">
        <v>4.5469999999999997</v>
      </c>
      <c r="R106">
        <v>1.2509999999999999</v>
      </c>
      <c r="S106">
        <v>5.859</v>
      </c>
      <c r="T106">
        <v>4.2640000000000002</v>
      </c>
      <c r="U106">
        <v>3.7690000000000001</v>
      </c>
      <c r="V106">
        <v>5.617</v>
      </c>
      <c r="W106">
        <v>4.9000000000000004</v>
      </c>
      <c r="X106">
        <v>4.8150000000000004</v>
      </c>
      <c r="Y106">
        <v>2.2320000000000002</v>
      </c>
      <c r="Z106">
        <v>2.2850000000000001</v>
      </c>
      <c r="AA106">
        <v>5.8550000000000004</v>
      </c>
      <c r="AB106">
        <v>6.327</v>
      </c>
      <c r="AC106">
        <v>7.2130000000000001</v>
      </c>
      <c r="AD106">
        <v>7.3209999999999997</v>
      </c>
      <c r="AE106">
        <v>6.8049999999999997</v>
      </c>
      <c r="AF106">
        <v>7.8239999999999998</v>
      </c>
      <c r="AG106">
        <v>8.2750000000000004</v>
      </c>
      <c r="AH106">
        <v>10.798</v>
      </c>
      <c r="AI106">
        <v>11.468999999999999</v>
      </c>
      <c r="AJ106">
        <v>8.577</v>
      </c>
      <c r="AK106">
        <v>7.0990000000000002</v>
      </c>
      <c r="AL106">
        <v>8.2240000000000002</v>
      </c>
      <c r="AM106">
        <v>9.1340000000000003</v>
      </c>
      <c r="AN106">
        <v>12.404999999999999</v>
      </c>
      <c r="AO106">
        <v>3.7690000000000001</v>
      </c>
      <c r="AP106">
        <v>5.617</v>
      </c>
    </row>
    <row r="107" spans="1:42" x14ac:dyDescent="0.2">
      <c r="A107" t="s">
        <v>266</v>
      </c>
      <c r="B107">
        <v>2.1949999999999998</v>
      </c>
      <c r="C107">
        <v>3.48</v>
      </c>
      <c r="D107">
        <v>3.2759999999999998</v>
      </c>
      <c r="E107">
        <v>3.2090000000000001</v>
      </c>
      <c r="F107">
        <v>3.0270000000000001</v>
      </c>
      <c r="G107">
        <v>3.843</v>
      </c>
      <c r="H107">
        <v>0.26300000000000001</v>
      </c>
      <c r="I107">
        <v>0.33800000000000002</v>
      </c>
      <c r="J107">
        <v>2.448</v>
      </c>
      <c r="K107">
        <v>2.516</v>
      </c>
      <c r="L107">
        <v>2.6850000000000001</v>
      </c>
      <c r="M107">
        <v>2.722</v>
      </c>
      <c r="N107">
        <v>3.8290000000000002</v>
      </c>
      <c r="O107">
        <v>3.9140000000000001</v>
      </c>
      <c r="P107">
        <v>4.4169999999999998</v>
      </c>
      <c r="Q107">
        <v>4.5990000000000002</v>
      </c>
      <c r="R107">
        <v>1.254</v>
      </c>
      <c r="S107">
        <v>5.899</v>
      </c>
      <c r="T107">
        <v>4.2830000000000004</v>
      </c>
      <c r="U107">
        <v>3.774</v>
      </c>
      <c r="V107">
        <v>5.6529999999999996</v>
      </c>
      <c r="W107">
        <v>4.9219999999999997</v>
      </c>
      <c r="X107">
        <v>4.8490000000000002</v>
      </c>
      <c r="Y107">
        <v>2.2639999999999998</v>
      </c>
      <c r="Z107">
        <v>2.339</v>
      </c>
      <c r="AA107">
        <v>5.89</v>
      </c>
      <c r="AB107">
        <v>6.3689999999999998</v>
      </c>
      <c r="AC107">
        <v>7.2279999999999998</v>
      </c>
      <c r="AD107">
        <v>7.3330000000000002</v>
      </c>
      <c r="AE107">
        <v>6.8330000000000002</v>
      </c>
      <c r="AF107">
        <v>7.9119999999999999</v>
      </c>
      <c r="AG107">
        <v>8.3780000000000001</v>
      </c>
      <c r="AH107">
        <v>10.896000000000001</v>
      </c>
      <c r="AI107">
        <v>11.555</v>
      </c>
      <c r="AJ107">
        <v>8.7149999999999999</v>
      </c>
      <c r="AK107">
        <v>7.1509999999999998</v>
      </c>
      <c r="AL107">
        <v>8.2420000000000009</v>
      </c>
      <c r="AM107">
        <v>9.2569999999999997</v>
      </c>
      <c r="AN107">
        <v>12.522</v>
      </c>
      <c r="AO107">
        <v>3.774</v>
      </c>
      <c r="AP107">
        <v>5.6529999999999996</v>
      </c>
    </row>
    <row r="108" spans="1:42" x14ac:dyDescent="0.2">
      <c r="A108" t="s">
        <v>267</v>
      </c>
      <c r="B108">
        <v>2.2029999999999998</v>
      </c>
      <c r="C108">
        <v>3.5169999999999999</v>
      </c>
      <c r="D108">
        <v>3.2879999999999998</v>
      </c>
      <c r="E108">
        <v>3.22</v>
      </c>
      <c r="F108">
        <v>3.0510000000000002</v>
      </c>
      <c r="G108">
        <v>3.871</v>
      </c>
      <c r="H108">
        <v>0.26800000000000002</v>
      </c>
      <c r="I108">
        <v>0.34899999999999998</v>
      </c>
      <c r="J108">
        <v>2.4609999999999999</v>
      </c>
      <c r="K108">
        <v>2.5299999999999998</v>
      </c>
      <c r="L108">
        <v>2.6949999999999998</v>
      </c>
      <c r="M108">
        <v>2.7320000000000002</v>
      </c>
      <c r="N108">
        <v>3.8780000000000001</v>
      </c>
      <c r="O108">
        <v>3.9649999999999999</v>
      </c>
      <c r="P108">
        <v>4.47</v>
      </c>
      <c r="Q108">
        <v>4.6520000000000001</v>
      </c>
      <c r="R108">
        <v>1.2569999999999999</v>
      </c>
      <c r="S108">
        <v>5.9370000000000003</v>
      </c>
      <c r="T108">
        <v>4.3019999999999996</v>
      </c>
      <c r="U108">
        <v>3.7789999999999999</v>
      </c>
      <c r="V108">
        <v>5.6879999999999997</v>
      </c>
      <c r="W108">
        <v>4.944</v>
      </c>
      <c r="X108">
        <v>4.8819999999999997</v>
      </c>
      <c r="Y108">
        <v>2.2959999999999998</v>
      </c>
      <c r="Z108">
        <v>2.3929999999999998</v>
      </c>
      <c r="AA108">
        <v>5.9260000000000002</v>
      </c>
      <c r="AB108">
        <v>6.41</v>
      </c>
      <c r="AC108">
        <v>7.242</v>
      </c>
      <c r="AD108">
        <v>7.3440000000000003</v>
      </c>
      <c r="AE108">
        <v>6.86</v>
      </c>
      <c r="AF108">
        <v>8</v>
      </c>
      <c r="AG108">
        <v>8.48</v>
      </c>
      <c r="AH108">
        <v>10.993</v>
      </c>
      <c r="AI108">
        <v>11.638999999999999</v>
      </c>
      <c r="AJ108">
        <v>8.8510000000000009</v>
      </c>
      <c r="AK108">
        <v>7.202</v>
      </c>
      <c r="AL108">
        <v>8.2590000000000003</v>
      </c>
      <c r="AM108">
        <v>9.3800000000000008</v>
      </c>
      <c r="AN108">
        <v>12.637</v>
      </c>
      <c r="AO108">
        <v>3.7789999999999999</v>
      </c>
      <c r="AP108">
        <v>5.6879999999999997</v>
      </c>
    </row>
    <row r="109" spans="1:42" x14ac:dyDescent="0.2">
      <c r="A109" t="s">
        <v>268</v>
      </c>
      <c r="B109">
        <v>2.21</v>
      </c>
      <c r="C109">
        <v>3.5550000000000002</v>
      </c>
      <c r="D109">
        <v>3.3</v>
      </c>
      <c r="E109">
        <v>3.2320000000000002</v>
      </c>
      <c r="F109">
        <v>3.0760000000000001</v>
      </c>
      <c r="G109">
        <v>3.8980000000000001</v>
      </c>
      <c r="H109">
        <v>0.27300000000000002</v>
      </c>
      <c r="I109">
        <v>0.36099999999999999</v>
      </c>
      <c r="J109">
        <v>2.4729999999999999</v>
      </c>
      <c r="K109">
        <v>2.5430000000000001</v>
      </c>
      <c r="L109">
        <v>2.706</v>
      </c>
      <c r="M109">
        <v>2.7410000000000001</v>
      </c>
      <c r="N109">
        <v>3.9249999999999998</v>
      </c>
      <c r="O109">
        <v>4.016</v>
      </c>
      <c r="P109">
        <v>4.524</v>
      </c>
      <c r="Q109">
        <v>4.7039999999999997</v>
      </c>
      <c r="R109">
        <v>1.2609999999999999</v>
      </c>
      <c r="S109">
        <v>5.9749999999999996</v>
      </c>
      <c r="T109">
        <v>4.32</v>
      </c>
      <c r="U109">
        <v>3.7829999999999999</v>
      </c>
      <c r="V109">
        <v>5.7229999999999999</v>
      </c>
      <c r="W109">
        <v>4.9660000000000002</v>
      </c>
      <c r="X109">
        <v>4.9139999999999997</v>
      </c>
      <c r="Y109">
        <v>2.3290000000000002</v>
      </c>
      <c r="Z109">
        <v>2.4470000000000001</v>
      </c>
      <c r="AA109">
        <v>5.9619999999999997</v>
      </c>
      <c r="AB109">
        <v>6.4489999999999998</v>
      </c>
      <c r="AC109">
        <v>7.2560000000000002</v>
      </c>
      <c r="AD109">
        <v>7.3550000000000004</v>
      </c>
      <c r="AE109">
        <v>6.8869999999999996</v>
      </c>
      <c r="AF109">
        <v>8.0869999999999997</v>
      </c>
      <c r="AG109">
        <v>8.5830000000000002</v>
      </c>
      <c r="AH109">
        <v>11.087</v>
      </c>
      <c r="AI109">
        <v>11.722</v>
      </c>
      <c r="AJ109">
        <v>8.9849999999999994</v>
      </c>
      <c r="AK109">
        <v>7.2510000000000003</v>
      </c>
      <c r="AL109">
        <v>8.2750000000000004</v>
      </c>
      <c r="AM109">
        <v>9.5030000000000001</v>
      </c>
      <c r="AN109">
        <v>12.749000000000001</v>
      </c>
      <c r="AO109">
        <v>3.7829999999999999</v>
      </c>
      <c r="AP109">
        <v>5.7229999999999999</v>
      </c>
    </row>
    <row r="110" spans="1:42" x14ac:dyDescent="0.2">
      <c r="A110" t="s">
        <v>269</v>
      </c>
      <c r="B110">
        <v>2.218</v>
      </c>
      <c r="C110">
        <v>3.5920000000000001</v>
      </c>
      <c r="D110">
        <v>3.3119999999999998</v>
      </c>
      <c r="E110">
        <v>3.2429999999999999</v>
      </c>
      <c r="F110">
        <v>3.1</v>
      </c>
      <c r="G110">
        <v>3.9249999999999998</v>
      </c>
      <c r="H110">
        <v>0.27900000000000003</v>
      </c>
      <c r="I110">
        <v>0.372</v>
      </c>
      <c r="J110">
        <v>2.4849999999999999</v>
      </c>
      <c r="K110">
        <v>2.556</v>
      </c>
      <c r="L110">
        <v>2.7160000000000002</v>
      </c>
      <c r="M110">
        <v>2.7509999999999999</v>
      </c>
      <c r="N110">
        <v>3.9729999999999999</v>
      </c>
      <c r="O110">
        <v>4.0670000000000002</v>
      </c>
      <c r="P110">
        <v>4.5759999999999996</v>
      </c>
      <c r="Q110">
        <v>4.7549999999999999</v>
      </c>
      <c r="R110">
        <v>1.264</v>
      </c>
      <c r="S110">
        <v>6.0119999999999996</v>
      </c>
      <c r="T110">
        <v>4.3380000000000001</v>
      </c>
      <c r="U110">
        <v>3.7879999999999998</v>
      </c>
      <c r="V110">
        <v>5.7569999999999997</v>
      </c>
      <c r="W110">
        <v>4.9859999999999998</v>
      </c>
      <c r="X110">
        <v>4.9459999999999997</v>
      </c>
      <c r="Y110">
        <v>2.3610000000000002</v>
      </c>
      <c r="Z110">
        <v>2.5009999999999999</v>
      </c>
      <c r="AA110">
        <v>5.9969999999999999</v>
      </c>
      <c r="AB110">
        <v>6.4870000000000001</v>
      </c>
      <c r="AC110">
        <v>7.27</v>
      </c>
      <c r="AD110">
        <v>7.3650000000000002</v>
      </c>
      <c r="AE110">
        <v>6.9119999999999999</v>
      </c>
      <c r="AF110">
        <v>8.1739999999999995</v>
      </c>
      <c r="AG110">
        <v>8.6859999999999999</v>
      </c>
      <c r="AH110">
        <v>11.18</v>
      </c>
      <c r="AI110">
        <v>11.803000000000001</v>
      </c>
      <c r="AJ110">
        <v>9.1170000000000009</v>
      </c>
      <c r="AK110">
        <v>7.298</v>
      </c>
      <c r="AL110">
        <v>8.2910000000000004</v>
      </c>
      <c r="AM110">
        <v>9.6270000000000007</v>
      </c>
      <c r="AN110">
        <v>12.86</v>
      </c>
      <c r="AO110">
        <v>3.7879999999999998</v>
      </c>
      <c r="AP110">
        <v>5.7569999999999997</v>
      </c>
    </row>
    <row r="111" spans="1:42" x14ac:dyDescent="0.2">
      <c r="A111" t="s">
        <v>270</v>
      </c>
      <c r="B111">
        <v>2.2250000000000001</v>
      </c>
      <c r="C111">
        <v>3.629</v>
      </c>
      <c r="D111">
        <v>3.323</v>
      </c>
      <c r="E111">
        <v>3.254</v>
      </c>
      <c r="F111">
        <v>3.1240000000000001</v>
      </c>
      <c r="G111">
        <v>3.952</v>
      </c>
      <c r="H111">
        <v>0.28399999999999997</v>
      </c>
      <c r="I111">
        <v>0.38400000000000001</v>
      </c>
      <c r="J111">
        <v>2.4969999999999999</v>
      </c>
      <c r="K111">
        <v>2.5680000000000001</v>
      </c>
      <c r="L111">
        <v>2.726</v>
      </c>
      <c r="M111">
        <v>2.76</v>
      </c>
      <c r="N111">
        <v>4.0209999999999999</v>
      </c>
      <c r="O111">
        <v>4.1180000000000003</v>
      </c>
      <c r="P111">
        <v>4.6280000000000001</v>
      </c>
      <c r="Q111">
        <v>4.806</v>
      </c>
      <c r="R111">
        <v>1.2669999999999999</v>
      </c>
      <c r="S111">
        <v>6.048</v>
      </c>
      <c r="T111">
        <v>4.3559999999999999</v>
      </c>
      <c r="U111">
        <v>3.7930000000000001</v>
      </c>
      <c r="V111">
        <v>5.79</v>
      </c>
      <c r="W111">
        <v>5.0069999999999997</v>
      </c>
      <c r="X111">
        <v>4.9770000000000003</v>
      </c>
      <c r="Y111">
        <v>2.3940000000000001</v>
      </c>
      <c r="Z111">
        <v>2.556</v>
      </c>
      <c r="AA111">
        <v>6.0330000000000004</v>
      </c>
      <c r="AB111">
        <v>6.524</v>
      </c>
      <c r="AC111">
        <v>7.2830000000000004</v>
      </c>
      <c r="AD111">
        <v>7.375</v>
      </c>
      <c r="AE111">
        <v>6.9370000000000003</v>
      </c>
      <c r="AF111">
        <v>8.26</v>
      </c>
      <c r="AG111">
        <v>8.7889999999999997</v>
      </c>
      <c r="AH111">
        <v>11.271000000000001</v>
      </c>
      <c r="AI111">
        <v>11.882</v>
      </c>
      <c r="AJ111">
        <v>9.2460000000000004</v>
      </c>
      <c r="AK111">
        <v>7.3440000000000003</v>
      </c>
      <c r="AL111">
        <v>8.3070000000000004</v>
      </c>
      <c r="AM111">
        <v>9.7509999999999994</v>
      </c>
      <c r="AN111">
        <v>12.968</v>
      </c>
      <c r="AO111">
        <v>3.7930000000000001</v>
      </c>
      <c r="AP111">
        <v>5.79</v>
      </c>
    </row>
    <row r="112" spans="1:42" x14ac:dyDescent="0.2">
      <c r="A112" t="s">
        <v>271</v>
      </c>
      <c r="B112">
        <v>2.2320000000000002</v>
      </c>
      <c r="C112">
        <v>3.665</v>
      </c>
      <c r="D112">
        <v>3.3340000000000001</v>
      </c>
      <c r="E112">
        <v>3.2650000000000001</v>
      </c>
      <c r="F112">
        <v>3.1480000000000001</v>
      </c>
      <c r="G112">
        <v>3.9780000000000002</v>
      </c>
      <c r="H112">
        <v>0.28999999999999998</v>
      </c>
      <c r="I112">
        <v>0.39600000000000002</v>
      </c>
      <c r="J112">
        <v>2.5089999999999999</v>
      </c>
      <c r="K112">
        <v>2.581</v>
      </c>
      <c r="L112">
        <v>2.7349999999999999</v>
      </c>
      <c r="M112">
        <v>2.7690000000000001</v>
      </c>
      <c r="N112">
        <v>4.0679999999999996</v>
      </c>
      <c r="O112">
        <v>4.1680000000000001</v>
      </c>
      <c r="P112">
        <v>4.68</v>
      </c>
      <c r="Q112">
        <v>4.8559999999999999</v>
      </c>
      <c r="R112">
        <v>1.27</v>
      </c>
      <c r="S112">
        <v>6.0839999999999996</v>
      </c>
      <c r="T112">
        <v>4.3739999999999997</v>
      </c>
      <c r="U112">
        <v>3.7970000000000002</v>
      </c>
      <c r="V112">
        <v>5.8230000000000004</v>
      </c>
      <c r="W112">
        <v>5.0270000000000001</v>
      </c>
      <c r="X112">
        <v>5.008</v>
      </c>
      <c r="Y112">
        <v>2.427</v>
      </c>
      <c r="Z112">
        <v>2.6110000000000002</v>
      </c>
      <c r="AA112">
        <v>6.069</v>
      </c>
      <c r="AB112">
        <v>6.56</v>
      </c>
      <c r="AC112">
        <v>7.2960000000000003</v>
      </c>
      <c r="AD112">
        <v>7.3849999999999998</v>
      </c>
      <c r="AE112">
        <v>6.9610000000000003</v>
      </c>
      <c r="AF112">
        <v>8.3460000000000001</v>
      </c>
      <c r="AG112">
        <v>8.891</v>
      </c>
      <c r="AH112">
        <v>11.36</v>
      </c>
      <c r="AI112">
        <v>11.959</v>
      </c>
      <c r="AJ112">
        <v>9.3740000000000006</v>
      </c>
      <c r="AK112">
        <v>7.3879999999999999</v>
      </c>
      <c r="AL112">
        <v>8.3219999999999992</v>
      </c>
      <c r="AM112">
        <v>9.875</v>
      </c>
      <c r="AN112">
        <v>13.074</v>
      </c>
      <c r="AO112">
        <v>3.7970000000000002</v>
      </c>
      <c r="AP112">
        <v>5.8230000000000004</v>
      </c>
    </row>
    <row r="113" spans="1:42" x14ac:dyDescent="0.2">
      <c r="A113" t="s">
        <v>272</v>
      </c>
      <c r="B113">
        <v>2.2389999999999999</v>
      </c>
      <c r="C113">
        <v>3.7010000000000001</v>
      </c>
      <c r="D113">
        <v>3.3450000000000002</v>
      </c>
      <c r="E113">
        <v>3.2749999999999999</v>
      </c>
      <c r="F113">
        <v>3.1709999999999998</v>
      </c>
      <c r="G113">
        <v>4.0039999999999996</v>
      </c>
      <c r="H113">
        <v>0.29599999999999999</v>
      </c>
      <c r="I113">
        <v>0.40799999999999997</v>
      </c>
      <c r="J113">
        <v>2.5209999999999999</v>
      </c>
      <c r="K113">
        <v>2.593</v>
      </c>
      <c r="L113">
        <v>2.7450000000000001</v>
      </c>
      <c r="M113">
        <v>2.778</v>
      </c>
      <c r="N113">
        <v>4.1150000000000002</v>
      </c>
      <c r="O113">
        <v>4.218</v>
      </c>
      <c r="P113">
        <v>4.7309999999999999</v>
      </c>
      <c r="Q113">
        <v>4.9050000000000002</v>
      </c>
      <c r="R113">
        <v>1.274</v>
      </c>
      <c r="S113">
        <v>6.1189999999999998</v>
      </c>
      <c r="T113">
        <v>4.391</v>
      </c>
      <c r="U113">
        <v>3.8010000000000002</v>
      </c>
      <c r="V113">
        <v>5.8540000000000001</v>
      </c>
      <c r="W113">
        <v>5.0460000000000003</v>
      </c>
      <c r="X113">
        <v>5.0389999999999997</v>
      </c>
      <c r="Y113">
        <v>2.46</v>
      </c>
      <c r="Z113">
        <v>2.6659999999999999</v>
      </c>
      <c r="AA113">
        <v>6.1040000000000001</v>
      </c>
      <c r="AB113">
        <v>6.5949999999999998</v>
      </c>
      <c r="AC113">
        <v>7.3079999999999998</v>
      </c>
      <c r="AD113">
        <v>7.3940000000000001</v>
      </c>
      <c r="AE113">
        <v>6.984</v>
      </c>
      <c r="AF113">
        <v>8.4320000000000004</v>
      </c>
      <c r="AG113">
        <v>8.9939999999999998</v>
      </c>
      <c r="AH113">
        <v>11.446999999999999</v>
      </c>
      <c r="AI113">
        <v>12.035</v>
      </c>
      <c r="AJ113">
        <v>9.4990000000000006</v>
      </c>
      <c r="AK113">
        <v>7.4320000000000004</v>
      </c>
      <c r="AL113">
        <v>8.3360000000000003</v>
      </c>
      <c r="AM113">
        <v>9.9990000000000006</v>
      </c>
      <c r="AN113">
        <v>13.178000000000001</v>
      </c>
      <c r="AO113">
        <v>3.8010000000000002</v>
      </c>
      <c r="AP113">
        <v>5.8540000000000001</v>
      </c>
    </row>
    <row r="114" spans="1:42" x14ac:dyDescent="0.2">
      <c r="A114" t="s">
        <v>273</v>
      </c>
      <c r="B114">
        <v>2.246</v>
      </c>
      <c r="C114">
        <v>3.7360000000000002</v>
      </c>
      <c r="D114">
        <v>3.3559999999999999</v>
      </c>
      <c r="E114">
        <v>3.286</v>
      </c>
      <c r="F114">
        <v>3.194</v>
      </c>
      <c r="G114">
        <v>4.0289999999999999</v>
      </c>
      <c r="H114">
        <v>0.30099999999999999</v>
      </c>
      <c r="I114">
        <v>0.42099999999999999</v>
      </c>
      <c r="J114">
        <v>2.5329999999999999</v>
      </c>
      <c r="K114">
        <v>2.605</v>
      </c>
      <c r="L114">
        <v>2.754</v>
      </c>
      <c r="M114">
        <v>2.786</v>
      </c>
      <c r="N114">
        <v>4.1609999999999996</v>
      </c>
      <c r="O114">
        <v>4.2679999999999998</v>
      </c>
      <c r="P114">
        <v>4.782</v>
      </c>
      <c r="Q114">
        <v>4.9550000000000001</v>
      </c>
      <c r="R114">
        <v>1.2769999999999999</v>
      </c>
      <c r="S114">
        <v>6.1529999999999996</v>
      </c>
      <c r="T114">
        <v>4.407</v>
      </c>
      <c r="U114">
        <v>3.8050000000000002</v>
      </c>
      <c r="V114">
        <v>5.8849999999999998</v>
      </c>
      <c r="W114">
        <v>5.0650000000000004</v>
      </c>
      <c r="X114">
        <v>5.0679999999999996</v>
      </c>
      <c r="Y114">
        <v>2.4929999999999999</v>
      </c>
      <c r="Z114">
        <v>2.7210000000000001</v>
      </c>
      <c r="AA114">
        <v>6.14</v>
      </c>
      <c r="AB114">
        <v>6.6289999999999996</v>
      </c>
      <c r="AC114">
        <v>7.32</v>
      </c>
      <c r="AD114">
        <v>7.4039999999999999</v>
      </c>
      <c r="AE114">
        <v>7.0060000000000002</v>
      </c>
      <c r="AF114">
        <v>8.5169999999999995</v>
      </c>
      <c r="AG114">
        <v>9.0960000000000001</v>
      </c>
      <c r="AH114">
        <v>11.532999999999999</v>
      </c>
      <c r="AI114">
        <v>12.109</v>
      </c>
      <c r="AJ114">
        <v>9.6219999999999999</v>
      </c>
      <c r="AK114">
        <v>7.4729999999999999</v>
      </c>
      <c r="AL114">
        <v>8.35</v>
      </c>
      <c r="AM114">
        <v>10.122999999999999</v>
      </c>
      <c r="AN114">
        <v>13.28</v>
      </c>
      <c r="AO114">
        <v>3.8050000000000002</v>
      </c>
      <c r="AP114">
        <v>5.8849999999999998</v>
      </c>
    </row>
    <row r="115" spans="1:42" x14ac:dyDescent="0.2">
      <c r="A115" t="s">
        <v>274</v>
      </c>
      <c r="B115">
        <v>2.2519999999999998</v>
      </c>
      <c r="C115">
        <v>3.7709999999999999</v>
      </c>
      <c r="D115">
        <v>3.3660000000000001</v>
      </c>
      <c r="E115">
        <v>3.2959999999999998</v>
      </c>
      <c r="F115">
        <v>3.2170000000000001</v>
      </c>
      <c r="G115">
        <v>4.0549999999999997</v>
      </c>
      <c r="H115">
        <v>0.307</v>
      </c>
      <c r="I115">
        <v>0.433</v>
      </c>
      <c r="J115">
        <v>2.5449999999999999</v>
      </c>
      <c r="K115">
        <v>2.617</v>
      </c>
      <c r="L115">
        <v>2.7629999999999999</v>
      </c>
      <c r="M115">
        <v>2.7949999999999999</v>
      </c>
      <c r="N115">
        <v>4.2080000000000002</v>
      </c>
      <c r="O115">
        <v>4.3170000000000002</v>
      </c>
      <c r="P115">
        <v>4.8319999999999999</v>
      </c>
      <c r="Q115">
        <v>5.0030000000000001</v>
      </c>
      <c r="R115">
        <v>1.2809999999999999</v>
      </c>
      <c r="S115">
        <v>6.1870000000000003</v>
      </c>
      <c r="T115">
        <v>4.4240000000000004</v>
      </c>
      <c r="U115">
        <v>3.8090000000000002</v>
      </c>
      <c r="V115">
        <v>5.9160000000000004</v>
      </c>
      <c r="W115">
        <v>5.0839999999999996</v>
      </c>
      <c r="X115">
        <v>5.0979999999999999</v>
      </c>
      <c r="Y115">
        <v>2.5259999999999998</v>
      </c>
      <c r="Z115">
        <v>2.7770000000000001</v>
      </c>
      <c r="AA115">
        <v>6.1760000000000002</v>
      </c>
      <c r="AB115">
        <v>6.6609999999999996</v>
      </c>
      <c r="AC115">
        <v>7.3310000000000004</v>
      </c>
      <c r="AD115">
        <v>7.4119999999999999</v>
      </c>
      <c r="AE115">
        <v>7.0279999999999996</v>
      </c>
      <c r="AF115">
        <v>8.6020000000000003</v>
      </c>
      <c r="AG115">
        <v>9.1980000000000004</v>
      </c>
      <c r="AH115">
        <v>11.617000000000001</v>
      </c>
      <c r="AI115">
        <v>12.182</v>
      </c>
      <c r="AJ115">
        <v>9.7430000000000003</v>
      </c>
      <c r="AK115">
        <v>7.5140000000000002</v>
      </c>
      <c r="AL115">
        <v>8.3640000000000008</v>
      </c>
      <c r="AM115">
        <v>10.246</v>
      </c>
      <c r="AN115">
        <v>13.38</v>
      </c>
      <c r="AO115">
        <v>3.8090000000000002</v>
      </c>
      <c r="AP115">
        <v>5.9160000000000004</v>
      </c>
    </row>
    <row r="116" spans="1:42" x14ac:dyDescent="0.2">
      <c r="A116" t="s">
        <v>275</v>
      </c>
      <c r="B116">
        <v>2.2589999999999999</v>
      </c>
      <c r="C116">
        <v>3.806</v>
      </c>
      <c r="D116">
        <v>3.3769999999999998</v>
      </c>
      <c r="E116">
        <v>3.306</v>
      </c>
      <c r="F116">
        <v>3.24</v>
      </c>
      <c r="G116">
        <v>4.08</v>
      </c>
      <c r="H116">
        <v>0.313</v>
      </c>
      <c r="I116">
        <v>0.44600000000000001</v>
      </c>
      <c r="J116">
        <v>2.5569999999999999</v>
      </c>
      <c r="K116">
        <v>2.6280000000000001</v>
      </c>
      <c r="L116">
        <v>2.7719999999999998</v>
      </c>
      <c r="M116">
        <v>2.8029999999999999</v>
      </c>
      <c r="N116">
        <v>4.2539999999999996</v>
      </c>
      <c r="O116">
        <v>4.3659999999999997</v>
      </c>
      <c r="P116">
        <v>4.8810000000000002</v>
      </c>
      <c r="Q116">
        <v>5.0510000000000002</v>
      </c>
      <c r="R116">
        <v>1.2849999999999999</v>
      </c>
      <c r="S116">
        <v>6.2190000000000003</v>
      </c>
      <c r="T116">
        <v>4.4390000000000001</v>
      </c>
      <c r="U116">
        <v>3.8130000000000002</v>
      </c>
      <c r="V116">
        <v>5.9450000000000003</v>
      </c>
      <c r="W116">
        <v>5.1020000000000003</v>
      </c>
      <c r="X116">
        <v>5.1260000000000003</v>
      </c>
      <c r="Y116">
        <v>2.56</v>
      </c>
      <c r="Z116">
        <v>2.8330000000000002</v>
      </c>
      <c r="AA116">
        <v>6.2119999999999997</v>
      </c>
      <c r="AB116">
        <v>6.6929999999999996</v>
      </c>
      <c r="AC116">
        <v>7.343</v>
      </c>
      <c r="AD116">
        <v>7.4210000000000003</v>
      </c>
      <c r="AE116">
        <v>7.0490000000000004</v>
      </c>
      <c r="AF116">
        <v>8.6859999999999999</v>
      </c>
      <c r="AG116">
        <v>9.2989999999999995</v>
      </c>
      <c r="AH116">
        <v>11.699</v>
      </c>
      <c r="AI116">
        <v>12.253</v>
      </c>
      <c r="AJ116">
        <v>9.8620000000000001</v>
      </c>
      <c r="AK116">
        <v>7.5529999999999999</v>
      </c>
      <c r="AL116">
        <v>8.3770000000000007</v>
      </c>
      <c r="AM116">
        <v>10.369</v>
      </c>
      <c r="AN116">
        <v>13.478</v>
      </c>
      <c r="AO116">
        <v>3.8130000000000002</v>
      </c>
      <c r="AP116">
        <v>5.9450000000000003</v>
      </c>
    </row>
    <row r="117" spans="1:42" x14ac:dyDescent="0.2">
      <c r="A117" t="s">
        <v>276</v>
      </c>
      <c r="B117">
        <v>2.2650000000000001</v>
      </c>
      <c r="C117">
        <v>3.84</v>
      </c>
      <c r="D117">
        <v>3.387</v>
      </c>
      <c r="E117">
        <v>3.3149999999999999</v>
      </c>
      <c r="F117">
        <v>3.262</v>
      </c>
      <c r="G117">
        <v>4.1040000000000001</v>
      </c>
      <c r="H117">
        <v>0.31900000000000001</v>
      </c>
      <c r="I117">
        <v>0.45800000000000002</v>
      </c>
      <c r="J117">
        <v>2.5680000000000001</v>
      </c>
      <c r="K117">
        <v>2.6389999999999998</v>
      </c>
      <c r="L117">
        <v>2.7810000000000001</v>
      </c>
      <c r="M117">
        <v>2.8119999999999998</v>
      </c>
      <c r="N117">
        <v>4.3</v>
      </c>
      <c r="O117">
        <v>4.415</v>
      </c>
      <c r="P117">
        <v>4.93</v>
      </c>
      <c r="Q117">
        <v>5.0990000000000002</v>
      </c>
      <c r="R117">
        <v>1.2889999999999999</v>
      </c>
      <c r="S117">
        <v>6.2519999999999998</v>
      </c>
      <c r="T117">
        <v>4.4550000000000001</v>
      </c>
      <c r="U117">
        <v>3.8170000000000002</v>
      </c>
      <c r="V117">
        <v>5.9740000000000002</v>
      </c>
      <c r="W117">
        <v>5.12</v>
      </c>
      <c r="X117">
        <v>5.1550000000000002</v>
      </c>
      <c r="Y117">
        <v>2.5939999999999999</v>
      </c>
      <c r="Z117">
        <v>2.8889999999999998</v>
      </c>
      <c r="AA117">
        <v>6.2480000000000002</v>
      </c>
      <c r="AB117">
        <v>6.7240000000000002</v>
      </c>
      <c r="AC117">
        <v>7.3529999999999998</v>
      </c>
      <c r="AD117">
        <v>7.4290000000000003</v>
      </c>
      <c r="AE117">
        <v>7.069</v>
      </c>
      <c r="AF117">
        <v>8.77</v>
      </c>
      <c r="AG117">
        <v>9.4</v>
      </c>
      <c r="AH117">
        <v>11.78</v>
      </c>
      <c r="AI117">
        <v>12.323</v>
      </c>
      <c r="AJ117">
        <v>9.9779999999999998</v>
      </c>
      <c r="AK117">
        <v>7.5919999999999996</v>
      </c>
      <c r="AL117">
        <v>8.39</v>
      </c>
      <c r="AM117">
        <v>10.492000000000001</v>
      </c>
      <c r="AN117">
        <v>13.574</v>
      </c>
      <c r="AO117">
        <v>3.8170000000000002</v>
      </c>
      <c r="AP117">
        <v>5.9740000000000002</v>
      </c>
    </row>
    <row r="118" spans="1:42" x14ac:dyDescent="0.2">
      <c r="A118" t="s">
        <v>277</v>
      </c>
      <c r="B118">
        <v>2.2719999999999998</v>
      </c>
      <c r="C118">
        <v>3.8740000000000001</v>
      </c>
      <c r="D118">
        <v>3.3969999999999998</v>
      </c>
      <c r="E118">
        <v>3.3250000000000002</v>
      </c>
      <c r="F118">
        <v>3.2839999999999998</v>
      </c>
      <c r="G118">
        <v>4.1289999999999996</v>
      </c>
      <c r="H118">
        <v>0.32500000000000001</v>
      </c>
      <c r="I118">
        <v>0.47099999999999997</v>
      </c>
      <c r="J118">
        <v>2.58</v>
      </c>
      <c r="K118">
        <v>2.6509999999999998</v>
      </c>
      <c r="L118">
        <v>2.79</v>
      </c>
      <c r="M118">
        <v>2.82</v>
      </c>
      <c r="N118">
        <v>4.3449999999999998</v>
      </c>
      <c r="O118">
        <v>4.4640000000000004</v>
      </c>
      <c r="P118">
        <v>4.9790000000000001</v>
      </c>
      <c r="Q118">
        <v>5.1459999999999999</v>
      </c>
      <c r="R118">
        <v>1.292</v>
      </c>
      <c r="S118">
        <v>6.2830000000000004</v>
      </c>
      <c r="T118">
        <v>4.47</v>
      </c>
      <c r="U118">
        <v>3.82</v>
      </c>
      <c r="V118">
        <v>6.0030000000000001</v>
      </c>
      <c r="W118">
        <v>5.1369999999999996</v>
      </c>
      <c r="X118">
        <v>5.1820000000000004</v>
      </c>
      <c r="Y118">
        <v>2.6280000000000001</v>
      </c>
      <c r="Z118">
        <v>2.9449999999999998</v>
      </c>
      <c r="AA118">
        <v>6.2850000000000001</v>
      </c>
      <c r="AB118">
        <v>6.7539999999999996</v>
      </c>
      <c r="AC118">
        <v>7.3639999999999999</v>
      </c>
      <c r="AD118">
        <v>7.4370000000000003</v>
      </c>
      <c r="AE118">
        <v>7.0890000000000004</v>
      </c>
      <c r="AF118">
        <v>8.8539999999999992</v>
      </c>
      <c r="AG118">
        <v>9.5</v>
      </c>
      <c r="AH118">
        <v>11.859</v>
      </c>
      <c r="AI118">
        <v>12.391</v>
      </c>
      <c r="AJ118">
        <v>10.093</v>
      </c>
      <c r="AK118">
        <v>7.6289999999999996</v>
      </c>
      <c r="AL118">
        <v>8.4019999999999992</v>
      </c>
      <c r="AM118">
        <v>10.614000000000001</v>
      </c>
      <c r="AN118">
        <v>13.667999999999999</v>
      </c>
      <c r="AO118">
        <v>3.82</v>
      </c>
      <c r="AP118">
        <v>6.0030000000000001</v>
      </c>
    </row>
    <row r="119" spans="1:42" x14ac:dyDescent="0.2">
      <c r="A119" t="s">
        <v>278</v>
      </c>
      <c r="B119">
        <v>2.278</v>
      </c>
      <c r="C119">
        <v>3.907</v>
      </c>
      <c r="D119">
        <v>3.4060000000000001</v>
      </c>
      <c r="E119">
        <v>3.3340000000000001</v>
      </c>
      <c r="F119">
        <v>3.306</v>
      </c>
      <c r="G119">
        <v>4.1520000000000001</v>
      </c>
      <c r="H119">
        <v>0.33100000000000002</v>
      </c>
      <c r="I119">
        <v>0.48399999999999999</v>
      </c>
      <c r="J119">
        <v>2.5910000000000002</v>
      </c>
      <c r="K119">
        <v>2.6619999999999999</v>
      </c>
      <c r="L119">
        <v>2.798</v>
      </c>
      <c r="M119">
        <v>2.8279999999999998</v>
      </c>
      <c r="N119">
        <v>4.3899999999999997</v>
      </c>
      <c r="O119">
        <v>4.5119999999999996</v>
      </c>
      <c r="P119">
        <v>5.0270000000000001</v>
      </c>
      <c r="Q119">
        <v>5.1920000000000002</v>
      </c>
      <c r="R119">
        <v>1.296</v>
      </c>
      <c r="S119">
        <v>6.3140000000000001</v>
      </c>
      <c r="T119">
        <v>4.4850000000000003</v>
      </c>
      <c r="U119">
        <v>3.8239999999999998</v>
      </c>
      <c r="V119">
        <v>6.03</v>
      </c>
      <c r="W119">
        <v>5.1539999999999999</v>
      </c>
      <c r="X119">
        <v>5.21</v>
      </c>
      <c r="Y119">
        <v>2.6619999999999999</v>
      </c>
      <c r="Z119">
        <v>3.0009999999999999</v>
      </c>
      <c r="AA119">
        <v>6.3220000000000001</v>
      </c>
      <c r="AB119">
        <v>6.7830000000000004</v>
      </c>
      <c r="AC119">
        <v>7.3739999999999997</v>
      </c>
      <c r="AD119">
        <v>7.4450000000000003</v>
      </c>
      <c r="AE119">
        <v>7.1079999999999997</v>
      </c>
      <c r="AF119">
        <v>8.9369999999999994</v>
      </c>
      <c r="AG119">
        <v>9.6</v>
      </c>
      <c r="AH119">
        <v>11.936</v>
      </c>
      <c r="AI119">
        <v>12.458</v>
      </c>
      <c r="AJ119">
        <v>10.205</v>
      </c>
      <c r="AK119">
        <v>7.6639999999999997</v>
      </c>
      <c r="AL119">
        <v>8.4139999999999997</v>
      </c>
      <c r="AM119">
        <v>10.734999999999999</v>
      </c>
      <c r="AN119">
        <v>13.76</v>
      </c>
      <c r="AO119">
        <v>3.8239999999999998</v>
      </c>
      <c r="AP119">
        <v>6.03</v>
      </c>
    </row>
    <row r="120" spans="1:42" x14ac:dyDescent="0.2">
      <c r="A120" t="s">
        <v>279</v>
      </c>
      <c r="B120">
        <v>2.2839999999999998</v>
      </c>
      <c r="C120">
        <v>3.94</v>
      </c>
      <c r="D120">
        <v>3.4159999999999999</v>
      </c>
      <c r="E120">
        <v>3.343</v>
      </c>
      <c r="F120">
        <v>3.327</v>
      </c>
      <c r="G120">
        <v>4.1760000000000002</v>
      </c>
      <c r="H120">
        <v>0.33700000000000002</v>
      </c>
      <c r="I120">
        <v>0.498</v>
      </c>
      <c r="J120">
        <v>2.6030000000000002</v>
      </c>
      <c r="K120">
        <v>2.6720000000000002</v>
      </c>
      <c r="L120">
        <v>2.806</v>
      </c>
      <c r="M120">
        <v>2.835</v>
      </c>
      <c r="N120">
        <v>4.4359999999999999</v>
      </c>
      <c r="O120">
        <v>4.5599999999999996</v>
      </c>
      <c r="P120">
        <v>5.0739999999999998</v>
      </c>
      <c r="Q120">
        <v>5.2380000000000004</v>
      </c>
      <c r="R120">
        <v>1.3</v>
      </c>
      <c r="S120">
        <v>6.3440000000000003</v>
      </c>
      <c r="T120">
        <v>4.5</v>
      </c>
      <c r="U120">
        <v>3.827</v>
      </c>
      <c r="V120">
        <v>6.0579999999999998</v>
      </c>
      <c r="W120">
        <v>5.17</v>
      </c>
      <c r="X120">
        <v>5.2359999999999998</v>
      </c>
      <c r="Y120">
        <v>2.6960000000000002</v>
      </c>
      <c r="Z120">
        <v>3.0579999999999998</v>
      </c>
      <c r="AA120">
        <v>6.3579999999999997</v>
      </c>
      <c r="AB120">
        <v>6.8109999999999999</v>
      </c>
      <c r="AC120">
        <v>7.3840000000000003</v>
      </c>
      <c r="AD120">
        <v>7.4530000000000003</v>
      </c>
      <c r="AE120">
        <v>7.1260000000000003</v>
      </c>
      <c r="AF120">
        <v>9.02</v>
      </c>
      <c r="AG120">
        <v>9.6989999999999998</v>
      </c>
      <c r="AH120">
        <v>12.012</v>
      </c>
      <c r="AI120">
        <v>12.523</v>
      </c>
      <c r="AJ120">
        <v>10.316000000000001</v>
      </c>
      <c r="AK120">
        <v>7.6989999999999998</v>
      </c>
      <c r="AL120">
        <v>8.4260000000000002</v>
      </c>
      <c r="AM120">
        <v>10.855</v>
      </c>
      <c r="AN120">
        <v>13.85</v>
      </c>
      <c r="AO120">
        <v>3.827</v>
      </c>
      <c r="AP120">
        <v>6.0579999999999998</v>
      </c>
    </row>
    <row r="121" spans="1:42" x14ac:dyDescent="0.2">
      <c r="A121" t="s">
        <v>280</v>
      </c>
      <c r="B121">
        <v>2.29</v>
      </c>
      <c r="C121">
        <v>3.9729999999999999</v>
      </c>
      <c r="D121">
        <v>3.4249999999999998</v>
      </c>
      <c r="E121">
        <v>3.3519999999999999</v>
      </c>
      <c r="F121">
        <v>3.3479999999999999</v>
      </c>
      <c r="G121">
        <v>4.1989999999999998</v>
      </c>
      <c r="H121">
        <v>0.34300000000000003</v>
      </c>
      <c r="I121">
        <v>0.51100000000000001</v>
      </c>
      <c r="J121">
        <v>2.6139999999999999</v>
      </c>
      <c r="K121">
        <v>2.6829999999999998</v>
      </c>
      <c r="L121">
        <v>2.8140000000000001</v>
      </c>
      <c r="M121">
        <v>2.843</v>
      </c>
      <c r="N121">
        <v>4.4800000000000004</v>
      </c>
      <c r="O121">
        <v>4.6079999999999997</v>
      </c>
      <c r="P121">
        <v>5.1210000000000004</v>
      </c>
      <c r="Q121">
        <v>5.2839999999999998</v>
      </c>
      <c r="R121">
        <v>1.304</v>
      </c>
      <c r="S121">
        <v>6.3739999999999997</v>
      </c>
      <c r="T121">
        <v>4.5140000000000002</v>
      </c>
      <c r="U121">
        <v>3.831</v>
      </c>
      <c r="V121">
        <v>6.0839999999999996</v>
      </c>
      <c r="W121">
        <v>5.1859999999999999</v>
      </c>
      <c r="X121">
        <v>5.2629999999999999</v>
      </c>
      <c r="Y121">
        <v>2.7309999999999999</v>
      </c>
      <c r="Z121">
        <v>3.1150000000000002</v>
      </c>
      <c r="AA121">
        <v>6.3959999999999999</v>
      </c>
      <c r="AB121">
        <v>6.8380000000000001</v>
      </c>
      <c r="AC121">
        <v>7.3929999999999998</v>
      </c>
      <c r="AD121">
        <v>7.46</v>
      </c>
      <c r="AE121">
        <v>7.1440000000000001</v>
      </c>
      <c r="AF121">
        <v>9.1029999999999998</v>
      </c>
      <c r="AG121">
        <v>9.7970000000000006</v>
      </c>
      <c r="AH121">
        <v>12.086</v>
      </c>
      <c r="AI121">
        <v>12.586</v>
      </c>
      <c r="AJ121">
        <v>10.423999999999999</v>
      </c>
      <c r="AK121">
        <v>7.7329999999999997</v>
      </c>
      <c r="AL121">
        <v>8.4369999999999994</v>
      </c>
      <c r="AM121">
        <v>10.975</v>
      </c>
      <c r="AN121">
        <v>13.939</v>
      </c>
      <c r="AO121">
        <v>3.831</v>
      </c>
      <c r="AP121">
        <v>6.0839999999999996</v>
      </c>
    </row>
    <row r="122" spans="1:42" x14ac:dyDescent="0.2">
      <c r="A122" t="s">
        <v>281</v>
      </c>
      <c r="B122">
        <v>2.2959999999999998</v>
      </c>
      <c r="C122">
        <v>4.0049999999999999</v>
      </c>
      <c r="D122">
        <v>3.4340000000000002</v>
      </c>
      <c r="E122">
        <v>3.3610000000000002</v>
      </c>
      <c r="F122">
        <v>3.3690000000000002</v>
      </c>
      <c r="G122">
        <v>4.2220000000000004</v>
      </c>
      <c r="H122">
        <v>0.34899999999999998</v>
      </c>
      <c r="I122">
        <v>0.52400000000000002</v>
      </c>
      <c r="J122">
        <v>2.625</v>
      </c>
      <c r="K122">
        <v>2.6930000000000001</v>
      </c>
      <c r="L122">
        <v>2.823</v>
      </c>
      <c r="M122">
        <v>2.85</v>
      </c>
      <c r="N122">
        <v>4.5250000000000004</v>
      </c>
      <c r="O122">
        <v>4.6550000000000002</v>
      </c>
      <c r="P122">
        <v>5.1680000000000001</v>
      </c>
      <c r="Q122">
        <v>5.3289999999999997</v>
      </c>
      <c r="R122">
        <v>1.3080000000000001</v>
      </c>
      <c r="S122">
        <v>6.4029999999999996</v>
      </c>
      <c r="T122">
        <v>4.5279999999999996</v>
      </c>
      <c r="U122">
        <v>3.8340000000000001</v>
      </c>
      <c r="V122">
        <v>6.11</v>
      </c>
      <c r="W122">
        <v>5.202</v>
      </c>
      <c r="X122">
        <v>5.2880000000000003</v>
      </c>
      <c r="Y122">
        <v>2.766</v>
      </c>
      <c r="Z122">
        <v>3.1720000000000002</v>
      </c>
      <c r="AA122">
        <v>6.4329999999999998</v>
      </c>
      <c r="AB122">
        <v>6.8639999999999999</v>
      </c>
      <c r="AC122">
        <v>7.4020000000000001</v>
      </c>
      <c r="AD122">
        <v>7.4669999999999996</v>
      </c>
      <c r="AE122">
        <v>7.1609999999999996</v>
      </c>
      <c r="AF122">
        <v>9.1850000000000005</v>
      </c>
      <c r="AG122">
        <v>9.8940000000000001</v>
      </c>
      <c r="AH122">
        <v>12.157999999999999</v>
      </c>
      <c r="AI122">
        <v>12.648999999999999</v>
      </c>
      <c r="AJ122">
        <v>10.531000000000001</v>
      </c>
      <c r="AK122">
        <v>7.766</v>
      </c>
      <c r="AL122">
        <v>8.4480000000000004</v>
      </c>
      <c r="AM122">
        <v>11.093999999999999</v>
      </c>
      <c r="AN122">
        <v>14.025</v>
      </c>
      <c r="AO122">
        <v>3.8340000000000001</v>
      </c>
      <c r="AP122">
        <v>6.11</v>
      </c>
    </row>
    <row r="123" spans="1:42" x14ac:dyDescent="0.2">
      <c r="A123" t="s">
        <v>282</v>
      </c>
      <c r="B123">
        <v>2.302</v>
      </c>
      <c r="C123">
        <v>4.0369999999999999</v>
      </c>
      <c r="D123">
        <v>3.4430000000000001</v>
      </c>
      <c r="E123">
        <v>3.37</v>
      </c>
      <c r="F123">
        <v>3.39</v>
      </c>
      <c r="G123">
        <v>4.2450000000000001</v>
      </c>
      <c r="H123">
        <v>0.35499999999999998</v>
      </c>
      <c r="I123">
        <v>0.53800000000000003</v>
      </c>
      <c r="J123">
        <v>2.637</v>
      </c>
      <c r="K123">
        <v>2.7029999999999998</v>
      </c>
      <c r="L123">
        <v>2.83</v>
      </c>
      <c r="M123">
        <v>2.8580000000000001</v>
      </c>
      <c r="N123">
        <v>4.569</v>
      </c>
      <c r="O123">
        <v>4.702</v>
      </c>
      <c r="P123">
        <v>5.2140000000000004</v>
      </c>
      <c r="Q123">
        <v>5.3730000000000002</v>
      </c>
      <c r="R123">
        <v>1.3120000000000001</v>
      </c>
      <c r="S123">
        <v>6.4320000000000004</v>
      </c>
      <c r="T123">
        <v>4.5419999999999998</v>
      </c>
      <c r="U123">
        <v>3.8370000000000002</v>
      </c>
      <c r="V123">
        <v>6.1349999999999998</v>
      </c>
      <c r="W123">
        <v>5.218</v>
      </c>
      <c r="X123">
        <v>5.3140000000000001</v>
      </c>
      <c r="Y123">
        <v>2.8010000000000002</v>
      </c>
      <c r="Z123">
        <v>3.2290000000000001</v>
      </c>
      <c r="AA123">
        <v>6.4710000000000001</v>
      </c>
      <c r="AB123">
        <v>6.89</v>
      </c>
      <c r="AC123">
        <v>7.4109999999999996</v>
      </c>
      <c r="AD123">
        <v>7.4740000000000002</v>
      </c>
      <c r="AE123">
        <v>7.1779999999999999</v>
      </c>
      <c r="AF123">
        <v>9.266</v>
      </c>
      <c r="AG123">
        <v>9.9909999999999997</v>
      </c>
      <c r="AH123">
        <v>12.228999999999999</v>
      </c>
      <c r="AI123">
        <v>12.71</v>
      </c>
      <c r="AJ123">
        <v>10.635</v>
      </c>
      <c r="AK123">
        <v>7.7969999999999997</v>
      </c>
      <c r="AL123">
        <v>8.4580000000000002</v>
      </c>
      <c r="AM123">
        <v>11.212</v>
      </c>
      <c r="AN123">
        <v>14.11</v>
      </c>
      <c r="AO123">
        <v>3.8370000000000002</v>
      </c>
      <c r="AP123">
        <v>6.1349999999999998</v>
      </c>
    </row>
    <row r="124" spans="1:42" x14ac:dyDescent="0.2">
      <c r="A124" t="s">
        <v>283</v>
      </c>
      <c r="B124">
        <v>2.3069999999999999</v>
      </c>
      <c r="C124">
        <v>4.069</v>
      </c>
      <c r="D124">
        <v>3.452</v>
      </c>
      <c r="E124">
        <v>3.3780000000000001</v>
      </c>
      <c r="F124">
        <v>3.41</v>
      </c>
      <c r="G124">
        <v>4.2670000000000003</v>
      </c>
      <c r="H124">
        <v>0.36099999999999999</v>
      </c>
      <c r="I124">
        <v>0.55200000000000005</v>
      </c>
      <c r="J124">
        <v>2.6480000000000001</v>
      </c>
      <c r="K124">
        <v>2.7130000000000001</v>
      </c>
      <c r="L124">
        <v>2.8380000000000001</v>
      </c>
      <c r="M124">
        <v>2.8650000000000002</v>
      </c>
      <c r="N124">
        <v>4.6130000000000004</v>
      </c>
      <c r="O124">
        <v>4.7480000000000002</v>
      </c>
      <c r="P124">
        <v>5.2590000000000003</v>
      </c>
      <c r="Q124">
        <v>5.4169999999999998</v>
      </c>
      <c r="R124">
        <v>1.3169999999999999</v>
      </c>
      <c r="S124">
        <v>6.46</v>
      </c>
      <c r="T124">
        <v>4.556</v>
      </c>
      <c r="U124">
        <v>3.84</v>
      </c>
      <c r="V124">
        <v>6.16</v>
      </c>
      <c r="W124">
        <v>5.2329999999999997</v>
      </c>
      <c r="X124">
        <v>5.3380000000000001</v>
      </c>
      <c r="Y124">
        <v>2.835</v>
      </c>
      <c r="Z124">
        <v>3.2869999999999999</v>
      </c>
      <c r="AA124">
        <v>6.508</v>
      </c>
      <c r="AB124">
        <v>6.915</v>
      </c>
      <c r="AC124">
        <v>7.42</v>
      </c>
      <c r="AD124">
        <v>7.48</v>
      </c>
      <c r="AE124">
        <v>7.194</v>
      </c>
      <c r="AF124">
        <v>9.3490000000000002</v>
      </c>
      <c r="AG124">
        <v>10.086</v>
      </c>
      <c r="AH124">
        <v>12.298999999999999</v>
      </c>
      <c r="AI124">
        <v>12.769</v>
      </c>
      <c r="AJ124">
        <v>10.738</v>
      </c>
      <c r="AK124">
        <v>7.8280000000000003</v>
      </c>
      <c r="AL124">
        <v>8.468</v>
      </c>
      <c r="AM124">
        <v>11.329000000000001</v>
      </c>
      <c r="AN124">
        <v>14.193</v>
      </c>
      <c r="AO124">
        <v>3.84</v>
      </c>
      <c r="AP124">
        <v>6.16</v>
      </c>
    </row>
    <row r="125" spans="1:42" x14ac:dyDescent="0.2">
      <c r="A125" t="s">
        <v>284</v>
      </c>
      <c r="B125">
        <v>2.3130000000000002</v>
      </c>
      <c r="C125">
        <v>4.0999999999999996</v>
      </c>
      <c r="D125">
        <v>3.46</v>
      </c>
      <c r="E125">
        <v>3.387</v>
      </c>
      <c r="F125">
        <v>3.43</v>
      </c>
      <c r="G125">
        <v>4.2889999999999997</v>
      </c>
      <c r="H125">
        <v>0.36699999999999999</v>
      </c>
      <c r="I125">
        <v>0.56599999999999995</v>
      </c>
      <c r="J125">
        <v>2.6589999999999998</v>
      </c>
      <c r="K125">
        <v>2.7229999999999999</v>
      </c>
      <c r="L125">
        <v>2.8460000000000001</v>
      </c>
      <c r="M125">
        <v>2.8719999999999999</v>
      </c>
      <c r="N125">
        <v>4.657</v>
      </c>
      <c r="O125">
        <v>4.7949999999999999</v>
      </c>
      <c r="P125">
        <v>5.3040000000000003</v>
      </c>
      <c r="Q125">
        <v>5.46</v>
      </c>
      <c r="R125">
        <v>1.321</v>
      </c>
      <c r="S125">
        <v>6.4870000000000001</v>
      </c>
      <c r="T125">
        <v>4.569</v>
      </c>
      <c r="U125">
        <v>3.843</v>
      </c>
      <c r="V125">
        <v>6.1840000000000002</v>
      </c>
      <c r="W125">
        <v>5.2469999999999999</v>
      </c>
      <c r="X125">
        <v>5.3630000000000004</v>
      </c>
      <c r="Y125">
        <v>2.8690000000000002</v>
      </c>
      <c r="Z125">
        <v>3.3460000000000001</v>
      </c>
      <c r="AA125">
        <v>6.5439999999999996</v>
      </c>
      <c r="AB125">
        <v>6.9390000000000001</v>
      </c>
      <c r="AC125">
        <v>7.4279999999999999</v>
      </c>
      <c r="AD125">
        <v>7.4870000000000001</v>
      </c>
      <c r="AE125">
        <v>7.2089999999999996</v>
      </c>
      <c r="AF125">
        <v>9.4320000000000004</v>
      </c>
      <c r="AG125">
        <v>10.180999999999999</v>
      </c>
      <c r="AH125">
        <v>12.367000000000001</v>
      </c>
      <c r="AI125">
        <v>12.827</v>
      </c>
      <c r="AJ125">
        <v>10.837999999999999</v>
      </c>
      <c r="AK125">
        <v>7.8579999999999997</v>
      </c>
      <c r="AL125">
        <v>8.4779999999999998</v>
      </c>
      <c r="AM125">
        <v>11.445</v>
      </c>
      <c r="AN125">
        <v>14.273999999999999</v>
      </c>
      <c r="AO125">
        <v>3.843</v>
      </c>
      <c r="AP125">
        <v>6.1840000000000002</v>
      </c>
    </row>
    <row r="126" spans="1:42" x14ac:dyDescent="0.2">
      <c r="A126" t="s">
        <v>285</v>
      </c>
      <c r="B126">
        <v>2.3180000000000001</v>
      </c>
      <c r="C126">
        <v>4.1310000000000002</v>
      </c>
      <c r="D126">
        <v>3.4689999999999999</v>
      </c>
      <c r="E126">
        <v>3.395</v>
      </c>
      <c r="F126">
        <v>3.45</v>
      </c>
      <c r="G126">
        <v>4.3109999999999999</v>
      </c>
      <c r="H126">
        <v>0.373</v>
      </c>
      <c r="I126">
        <v>0.57999999999999996</v>
      </c>
      <c r="J126">
        <v>2.669</v>
      </c>
      <c r="K126">
        <v>2.7330000000000001</v>
      </c>
      <c r="L126">
        <v>2.8530000000000002</v>
      </c>
      <c r="M126">
        <v>2.879</v>
      </c>
      <c r="N126">
        <v>4.7009999999999996</v>
      </c>
      <c r="O126">
        <v>4.8410000000000002</v>
      </c>
      <c r="P126">
        <v>5.3479999999999999</v>
      </c>
      <c r="Q126">
        <v>5.5030000000000001</v>
      </c>
      <c r="R126">
        <v>1.325</v>
      </c>
      <c r="S126">
        <v>6.5140000000000002</v>
      </c>
      <c r="T126">
        <v>4.5819999999999999</v>
      </c>
      <c r="U126">
        <v>3.8450000000000002</v>
      </c>
      <c r="V126">
        <v>6.2080000000000002</v>
      </c>
      <c r="W126">
        <v>5.2610000000000001</v>
      </c>
      <c r="X126">
        <v>5.3860000000000001</v>
      </c>
      <c r="Y126">
        <v>2.9009999999999998</v>
      </c>
      <c r="Z126">
        <v>3.4060000000000001</v>
      </c>
      <c r="AA126">
        <v>6.5789999999999997</v>
      </c>
      <c r="AB126">
        <v>6.9619999999999997</v>
      </c>
      <c r="AC126">
        <v>7.4359999999999999</v>
      </c>
      <c r="AD126">
        <v>7.4930000000000003</v>
      </c>
      <c r="AE126">
        <v>7.2249999999999996</v>
      </c>
      <c r="AF126">
        <v>9.5150000000000006</v>
      </c>
      <c r="AG126">
        <v>10.275</v>
      </c>
      <c r="AH126">
        <v>12.433999999999999</v>
      </c>
      <c r="AI126">
        <v>12.884</v>
      </c>
      <c r="AJ126">
        <v>10.936999999999999</v>
      </c>
      <c r="AK126">
        <v>7.8860000000000001</v>
      </c>
      <c r="AL126">
        <v>8.4879999999999995</v>
      </c>
      <c r="AM126">
        <v>11.558999999999999</v>
      </c>
      <c r="AN126">
        <v>14.353999999999999</v>
      </c>
      <c r="AO126">
        <v>3.8450000000000002</v>
      </c>
      <c r="AP126">
        <v>6.2080000000000002</v>
      </c>
    </row>
    <row r="127" spans="1:42" x14ac:dyDescent="0.2">
      <c r="A127" t="s">
        <v>286</v>
      </c>
      <c r="B127">
        <v>2.3239999999999998</v>
      </c>
      <c r="C127">
        <v>4.1609999999999996</v>
      </c>
      <c r="D127">
        <v>3.4769999999999999</v>
      </c>
      <c r="E127">
        <v>3.403</v>
      </c>
      <c r="F127">
        <v>3.47</v>
      </c>
      <c r="G127">
        <v>4.3319999999999999</v>
      </c>
      <c r="H127">
        <v>0.378</v>
      </c>
      <c r="I127">
        <v>0.59499999999999997</v>
      </c>
      <c r="J127">
        <v>2.68</v>
      </c>
      <c r="K127">
        <v>2.742</v>
      </c>
      <c r="L127">
        <v>2.86</v>
      </c>
      <c r="M127">
        <v>2.8860000000000001</v>
      </c>
      <c r="N127">
        <v>4.7439999999999998</v>
      </c>
      <c r="O127">
        <v>4.8860000000000001</v>
      </c>
      <c r="P127">
        <v>5.3920000000000003</v>
      </c>
      <c r="Q127">
        <v>5.5449999999999999</v>
      </c>
      <c r="R127">
        <v>1.329</v>
      </c>
      <c r="S127">
        <v>6.54</v>
      </c>
      <c r="T127">
        <v>4.5940000000000003</v>
      </c>
      <c r="U127">
        <v>3.8479999999999999</v>
      </c>
      <c r="V127">
        <v>6.2309999999999999</v>
      </c>
      <c r="W127">
        <v>5.2750000000000004</v>
      </c>
      <c r="X127">
        <v>5.41</v>
      </c>
      <c r="Y127">
        <v>2.9329999999999998</v>
      </c>
      <c r="Z127">
        <v>3.4670000000000001</v>
      </c>
      <c r="AA127">
        <v>6.6120000000000001</v>
      </c>
      <c r="AB127">
        <v>6.9850000000000003</v>
      </c>
      <c r="AC127">
        <v>7.444</v>
      </c>
      <c r="AD127">
        <v>7.4989999999999997</v>
      </c>
      <c r="AE127">
        <v>7.2389999999999999</v>
      </c>
      <c r="AF127">
        <v>9.5980000000000008</v>
      </c>
      <c r="AG127">
        <v>10.367000000000001</v>
      </c>
      <c r="AH127">
        <v>12.499000000000001</v>
      </c>
      <c r="AI127">
        <v>12.94</v>
      </c>
      <c r="AJ127">
        <v>11.034000000000001</v>
      </c>
      <c r="AK127">
        <v>7.9139999999999997</v>
      </c>
      <c r="AL127">
        <v>8.4969999999999999</v>
      </c>
      <c r="AM127">
        <v>11.673</v>
      </c>
      <c r="AN127">
        <v>14.432</v>
      </c>
      <c r="AO127">
        <v>3.8479999999999999</v>
      </c>
      <c r="AP127">
        <v>6.2309999999999999</v>
      </c>
    </row>
    <row r="128" spans="1:42" x14ac:dyDescent="0.2">
      <c r="A128" t="s">
        <v>287</v>
      </c>
      <c r="B128">
        <v>2.3290000000000002</v>
      </c>
      <c r="C128">
        <v>4.1909999999999998</v>
      </c>
      <c r="D128">
        <v>3.4849999999999999</v>
      </c>
      <c r="E128">
        <v>3.41</v>
      </c>
      <c r="F128">
        <v>3.4889999999999999</v>
      </c>
      <c r="G128">
        <v>4.3529999999999998</v>
      </c>
      <c r="H128">
        <v>0.38400000000000001</v>
      </c>
      <c r="I128">
        <v>0.60899999999999999</v>
      </c>
      <c r="J128">
        <v>2.69</v>
      </c>
      <c r="K128">
        <v>2.7509999999999999</v>
      </c>
      <c r="L128">
        <v>2.867</v>
      </c>
      <c r="M128">
        <v>2.8919999999999999</v>
      </c>
      <c r="N128">
        <v>4.7869999999999999</v>
      </c>
      <c r="O128">
        <v>4.931</v>
      </c>
      <c r="P128">
        <v>5.4359999999999999</v>
      </c>
      <c r="Q128">
        <v>5.5869999999999997</v>
      </c>
      <c r="R128">
        <v>1.333</v>
      </c>
      <c r="S128">
        <v>6.5659999999999998</v>
      </c>
      <c r="T128">
        <v>4.6070000000000002</v>
      </c>
      <c r="U128">
        <v>3.851</v>
      </c>
      <c r="V128">
        <v>6.2530000000000001</v>
      </c>
      <c r="W128">
        <v>5.2889999999999997</v>
      </c>
      <c r="X128">
        <v>5.4329999999999998</v>
      </c>
      <c r="Y128">
        <v>2.964</v>
      </c>
      <c r="Z128">
        <v>3.528</v>
      </c>
      <c r="AA128">
        <v>6.6449999999999996</v>
      </c>
      <c r="AB128">
        <v>7.0060000000000002</v>
      </c>
      <c r="AC128">
        <v>7.452</v>
      </c>
      <c r="AD128">
        <v>7.5049999999999999</v>
      </c>
      <c r="AE128">
        <v>7.2530000000000001</v>
      </c>
      <c r="AF128">
        <v>9.6820000000000004</v>
      </c>
      <c r="AG128">
        <v>10.459</v>
      </c>
      <c r="AH128">
        <v>12.563000000000001</v>
      </c>
      <c r="AI128">
        <v>12.994</v>
      </c>
      <c r="AJ128">
        <v>11.128</v>
      </c>
      <c r="AK128">
        <v>7.9409999999999998</v>
      </c>
      <c r="AL128">
        <v>8.5060000000000002</v>
      </c>
      <c r="AM128">
        <v>11.786</v>
      </c>
      <c r="AN128">
        <v>14.507999999999999</v>
      </c>
      <c r="AO128">
        <v>3.851</v>
      </c>
      <c r="AP128">
        <v>6.2530000000000001</v>
      </c>
    </row>
    <row r="129" spans="1:42" x14ac:dyDescent="0.2">
      <c r="A129" t="s">
        <v>288</v>
      </c>
      <c r="B129">
        <v>2.3340000000000001</v>
      </c>
      <c r="C129">
        <v>4.2210000000000001</v>
      </c>
      <c r="D129">
        <v>3.4929999999999999</v>
      </c>
      <c r="E129">
        <v>3.4180000000000001</v>
      </c>
      <c r="F129">
        <v>3.508</v>
      </c>
      <c r="G129">
        <v>4.3739999999999997</v>
      </c>
      <c r="H129">
        <v>0.39</v>
      </c>
      <c r="I129">
        <v>0.624</v>
      </c>
      <c r="J129">
        <v>2.7</v>
      </c>
      <c r="K129">
        <v>2.76</v>
      </c>
      <c r="L129">
        <v>2.8740000000000001</v>
      </c>
      <c r="M129">
        <v>2.899</v>
      </c>
      <c r="N129">
        <v>4.83</v>
      </c>
      <c r="O129">
        <v>4.976</v>
      </c>
      <c r="P129">
        <v>5.4779999999999998</v>
      </c>
      <c r="Q129">
        <v>5.6280000000000001</v>
      </c>
      <c r="R129">
        <v>1.3380000000000001</v>
      </c>
      <c r="S129">
        <v>6.5919999999999996</v>
      </c>
      <c r="T129">
        <v>4.6189999999999998</v>
      </c>
      <c r="U129">
        <v>3.8530000000000002</v>
      </c>
      <c r="V129">
        <v>6.2750000000000004</v>
      </c>
      <c r="W129">
        <v>5.3019999999999996</v>
      </c>
      <c r="X129">
        <v>5.4550000000000001</v>
      </c>
      <c r="Y129">
        <v>2.9929999999999999</v>
      </c>
      <c r="Z129">
        <v>3.59</v>
      </c>
      <c r="AA129">
        <v>6.6769999999999996</v>
      </c>
      <c r="AB129">
        <v>7.0279999999999996</v>
      </c>
      <c r="AC129">
        <v>7.4589999999999996</v>
      </c>
      <c r="AD129">
        <v>7.51</v>
      </c>
      <c r="AE129">
        <v>7.2670000000000003</v>
      </c>
      <c r="AF129">
        <v>9.766</v>
      </c>
      <c r="AG129">
        <v>10.55</v>
      </c>
      <c r="AH129">
        <v>12.625</v>
      </c>
      <c r="AI129">
        <v>13.048</v>
      </c>
      <c r="AJ129">
        <v>11.221</v>
      </c>
      <c r="AK129">
        <v>7.968</v>
      </c>
      <c r="AL129">
        <v>8.5139999999999993</v>
      </c>
      <c r="AM129">
        <v>11.897</v>
      </c>
      <c r="AN129">
        <v>14.582000000000001</v>
      </c>
      <c r="AO129">
        <v>3.8530000000000002</v>
      </c>
      <c r="AP129">
        <v>6.2750000000000004</v>
      </c>
    </row>
    <row r="130" spans="1:42" x14ac:dyDescent="0.2">
      <c r="A130" t="s">
        <v>289</v>
      </c>
      <c r="B130">
        <v>2.339</v>
      </c>
      <c r="C130">
        <v>4.25</v>
      </c>
      <c r="D130">
        <v>3.5</v>
      </c>
      <c r="E130">
        <v>3.4260000000000002</v>
      </c>
      <c r="F130">
        <v>3.5270000000000001</v>
      </c>
      <c r="G130">
        <v>4.3949999999999996</v>
      </c>
      <c r="H130">
        <v>0.39500000000000002</v>
      </c>
      <c r="I130">
        <v>0.63900000000000001</v>
      </c>
      <c r="J130">
        <v>2.71</v>
      </c>
      <c r="K130">
        <v>2.7690000000000001</v>
      </c>
      <c r="L130">
        <v>2.8809999999999998</v>
      </c>
      <c r="M130">
        <v>2.9049999999999998</v>
      </c>
      <c r="N130">
        <v>4.8730000000000002</v>
      </c>
      <c r="O130">
        <v>5.0199999999999996</v>
      </c>
      <c r="P130">
        <v>5.5209999999999999</v>
      </c>
      <c r="Q130">
        <v>5.6689999999999996</v>
      </c>
      <c r="R130">
        <v>1.3420000000000001</v>
      </c>
      <c r="S130">
        <v>6.6159999999999997</v>
      </c>
      <c r="T130">
        <v>4.63</v>
      </c>
      <c r="U130">
        <v>3.8559999999999999</v>
      </c>
      <c r="V130">
        <v>6.2969999999999997</v>
      </c>
      <c r="W130">
        <v>5.3150000000000004</v>
      </c>
      <c r="X130">
        <v>5.4770000000000003</v>
      </c>
      <c r="Y130">
        <v>3.0219999999999998</v>
      </c>
      <c r="Z130">
        <v>3.6520000000000001</v>
      </c>
      <c r="AA130">
        <v>6.7080000000000002</v>
      </c>
      <c r="AB130">
        <v>7.048</v>
      </c>
      <c r="AC130">
        <v>7.4660000000000002</v>
      </c>
      <c r="AD130">
        <v>7.516</v>
      </c>
      <c r="AE130">
        <v>7.28</v>
      </c>
      <c r="AF130">
        <v>9.85</v>
      </c>
      <c r="AG130">
        <v>10.64</v>
      </c>
      <c r="AH130">
        <v>12.686</v>
      </c>
      <c r="AI130">
        <v>13.1</v>
      </c>
      <c r="AJ130">
        <v>11.311999999999999</v>
      </c>
      <c r="AK130">
        <v>7.9930000000000003</v>
      </c>
      <c r="AL130">
        <v>8.5229999999999997</v>
      </c>
      <c r="AM130">
        <v>12.007</v>
      </c>
      <c r="AN130">
        <v>14.654999999999999</v>
      </c>
      <c r="AO130">
        <v>3.8559999999999999</v>
      </c>
      <c r="AP130">
        <v>6.2969999999999997</v>
      </c>
    </row>
    <row r="131" spans="1:42" x14ac:dyDescent="0.2">
      <c r="A131" t="s">
        <v>290</v>
      </c>
      <c r="B131">
        <v>2.3439999999999999</v>
      </c>
      <c r="C131">
        <v>4.2789999999999999</v>
      </c>
      <c r="D131">
        <v>3.508</v>
      </c>
      <c r="E131">
        <v>3.4329999999999998</v>
      </c>
      <c r="F131">
        <v>3.5449999999999999</v>
      </c>
      <c r="G131">
        <v>4.415</v>
      </c>
      <c r="H131">
        <v>0.40100000000000002</v>
      </c>
      <c r="I131">
        <v>0.65300000000000002</v>
      </c>
      <c r="J131">
        <v>2.72</v>
      </c>
      <c r="K131">
        <v>2.778</v>
      </c>
      <c r="L131">
        <v>2.8879999999999999</v>
      </c>
      <c r="M131">
        <v>2.9119999999999999</v>
      </c>
      <c r="N131">
        <v>4.915</v>
      </c>
      <c r="O131">
        <v>5.0640000000000001</v>
      </c>
      <c r="P131">
        <v>5.5629999999999997</v>
      </c>
      <c r="Q131">
        <v>5.7089999999999996</v>
      </c>
      <c r="R131">
        <v>1.3460000000000001</v>
      </c>
      <c r="S131">
        <v>6.641</v>
      </c>
      <c r="T131">
        <v>4.6420000000000003</v>
      </c>
      <c r="U131">
        <v>3.8580000000000001</v>
      </c>
      <c r="V131">
        <v>6.3179999999999996</v>
      </c>
      <c r="W131">
        <v>5.3280000000000003</v>
      </c>
      <c r="X131">
        <v>5.4989999999999997</v>
      </c>
      <c r="Y131">
        <v>3.05</v>
      </c>
      <c r="Z131">
        <v>3.7149999999999999</v>
      </c>
      <c r="AA131">
        <v>6.7380000000000004</v>
      </c>
      <c r="AB131">
        <v>7.0679999999999996</v>
      </c>
      <c r="AC131">
        <v>7.4729999999999999</v>
      </c>
      <c r="AD131">
        <v>7.5209999999999999</v>
      </c>
      <c r="AE131">
        <v>7.2930000000000001</v>
      </c>
      <c r="AF131">
        <v>9.9339999999999993</v>
      </c>
      <c r="AG131">
        <v>10.728</v>
      </c>
      <c r="AH131">
        <v>12.746</v>
      </c>
      <c r="AI131">
        <v>13.15</v>
      </c>
      <c r="AJ131">
        <v>11.401999999999999</v>
      </c>
      <c r="AK131">
        <v>8.0180000000000007</v>
      </c>
      <c r="AL131">
        <v>8.5310000000000006</v>
      </c>
      <c r="AM131">
        <v>12.116</v>
      </c>
      <c r="AN131">
        <v>14.727</v>
      </c>
      <c r="AO131">
        <v>3.8580000000000001</v>
      </c>
      <c r="AP131">
        <v>6.3179999999999996</v>
      </c>
    </row>
    <row r="132" spans="1:42" x14ac:dyDescent="0.2">
      <c r="A132" t="s">
        <v>291</v>
      </c>
      <c r="B132">
        <v>2.3490000000000002</v>
      </c>
      <c r="C132">
        <v>4.3079999999999998</v>
      </c>
      <c r="D132">
        <v>3.5150000000000001</v>
      </c>
      <c r="E132">
        <v>3.44</v>
      </c>
      <c r="F132">
        <v>3.5640000000000001</v>
      </c>
      <c r="G132">
        <v>4.4349999999999996</v>
      </c>
      <c r="H132">
        <v>0.40600000000000003</v>
      </c>
      <c r="I132">
        <v>0.66800000000000004</v>
      </c>
      <c r="J132">
        <v>2.73</v>
      </c>
      <c r="K132">
        <v>2.786</v>
      </c>
      <c r="L132">
        <v>2.895</v>
      </c>
      <c r="M132">
        <v>2.9180000000000001</v>
      </c>
      <c r="N132">
        <v>4.9569999999999999</v>
      </c>
      <c r="O132">
        <v>5.1079999999999997</v>
      </c>
      <c r="P132">
        <v>5.6040000000000001</v>
      </c>
      <c r="Q132">
        <v>5.7489999999999997</v>
      </c>
      <c r="R132">
        <v>1.351</v>
      </c>
      <c r="S132">
        <v>6.6639999999999997</v>
      </c>
      <c r="T132">
        <v>4.6529999999999996</v>
      </c>
      <c r="U132">
        <v>3.86</v>
      </c>
      <c r="V132">
        <v>6.3380000000000001</v>
      </c>
      <c r="W132">
        <v>5.34</v>
      </c>
      <c r="X132">
        <v>5.52</v>
      </c>
      <c r="Y132">
        <v>3.077</v>
      </c>
      <c r="Z132">
        <v>3.778</v>
      </c>
      <c r="AA132">
        <v>6.7670000000000003</v>
      </c>
      <c r="AB132">
        <v>7.0869999999999997</v>
      </c>
      <c r="AC132">
        <v>7.48</v>
      </c>
      <c r="AD132">
        <v>7.5259999999999998</v>
      </c>
      <c r="AE132">
        <v>7.306</v>
      </c>
      <c r="AF132">
        <v>10.018000000000001</v>
      </c>
      <c r="AG132">
        <v>10.816000000000001</v>
      </c>
      <c r="AH132">
        <v>12.804</v>
      </c>
      <c r="AI132">
        <v>13.2</v>
      </c>
      <c r="AJ132">
        <v>11.489000000000001</v>
      </c>
      <c r="AK132">
        <v>8.0419999999999998</v>
      </c>
      <c r="AL132">
        <v>8.5380000000000003</v>
      </c>
      <c r="AM132">
        <v>12.223000000000001</v>
      </c>
      <c r="AN132">
        <v>14.795999999999999</v>
      </c>
      <c r="AO132">
        <v>3.86</v>
      </c>
      <c r="AP132">
        <v>6.3380000000000001</v>
      </c>
    </row>
    <row r="133" spans="1:42" x14ac:dyDescent="0.2">
      <c r="A133" t="s">
        <v>292</v>
      </c>
      <c r="B133">
        <v>2.3540000000000001</v>
      </c>
      <c r="C133">
        <v>4.3360000000000003</v>
      </c>
      <c r="D133">
        <v>3.5219999999999998</v>
      </c>
      <c r="E133">
        <v>3.4470000000000001</v>
      </c>
      <c r="F133">
        <v>3.5819999999999999</v>
      </c>
      <c r="G133">
        <v>4.4539999999999997</v>
      </c>
      <c r="H133">
        <v>0.41099999999999998</v>
      </c>
      <c r="I133">
        <v>0.68400000000000005</v>
      </c>
      <c r="J133">
        <v>2.7389999999999999</v>
      </c>
      <c r="K133">
        <v>2.7949999999999999</v>
      </c>
      <c r="L133">
        <v>2.9009999999999998</v>
      </c>
      <c r="M133">
        <v>2.9239999999999999</v>
      </c>
      <c r="N133">
        <v>4.9989999999999997</v>
      </c>
      <c r="O133">
        <v>5.1509999999999998</v>
      </c>
      <c r="P133">
        <v>5.6449999999999996</v>
      </c>
      <c r="Q133">
        <v>5.7880000000000003</v>
      </c>
      <c r="R133">
        <v>1.355</v>
      </c>
      <c r="S133">
        <v>6.6879999999999997</v>
      </c>
      <c r="T133">
        <v>4.6639999999999997</v>
      </c>
      <c r="U133">
        <v>3.8620000000000001</v>
      </c>
      <c r="V133">
        <v>6.3579999999999997</v>
      </c>
      <c r="W133">
        <v>5.3520000000000003</v>
      </c>
      <c r="X133">
        <v>5.5410000000000004</v>
      </c>
      <c r="Y133">
        <v>3.1040000000000001</v>
      </c>
      <c r="Z133">
        <v>3.8410000000000002</v>
      </c>
      <c r="AA133">
        <v>6.7949999999999999</v>
      </c>
      <c r="AB133">
        <v>7.1059999999999999</v>
      </c>
      <c r="AC133">
        <v>7.4859999999999998</v>
      </c>
      <c r="AD133">
        <v>7.5309999999999997</v>
      </c>
      <c r="AE133">
        <v>7.3179999999999996</v>
      </c>
      <c r="AF133">
        <v>10.102</v>
      </c>
      <c r="AG133">
        <v>10.901999999999999</v>
      </c>
      <c r="AH133">
        <v>12.861000000000001</v>
      </c>
      <c r="AI133">
        <v>13.247999999999999</v>
      </c>
      <c r="AJ133">
        <v>11.574999999999999</v>
      </c>
      <c r="AK133">
        <v>8.0649999999999995</v>
      </c>
      <c r="AL133">
        <v>8.5459999999999994</v>
      </c>
      <c r="AM133">
        <v>12.329000000000001</v>
      </c>
      <c r="AN133">
        <v>14.865</v>
      </c>
      <c r="AO133">
        <v>3.8620000000000001</v>
      </c>
      <c r="AP133">
        <v>6.3579999999999997</v>
      </c>
    </row>
    <row r="134" spans="1:42" x14ac:dyDescent="0.2">
      <c r="A134" t="s">
        <v>293</v>
      </c>
      <c r="B134">
        <v>2.3580000000000001</v>
      </c>
      <c r="C134">
        <v>4.3630000000000004</v>
      </c>
      <c r="D134">
        <v>3.5289999999999999</v>
      </c>
      <c r="E134">
        <v>3.4540000000000002</v>
      </c>
      <c r="F134">
        <v>3.5990000000000002</v>
      </c>
      <c r="G134">
        <v>4.4729999999999999</v>
      </c>
      <c r="H134">
        <v>0.41599999999999998</v>
      </c>
      <c r="I134">
        <v>0.69899999999999995</v>
      </c>
      <c r="J134">
        <v>2.7480000000000002</v>
      </c>
      <c r="K134">
        <v>2.8029999999999999</v>
      </c>
      <c r="L134">
        <v>2.9079999999999999</v>
      </c>
      <c r="M134">
        <v>2.93</v>
      </c>
      <c r="N134">
        <v>5.0410000000000004</v>
      </c>
      <c r="O134">
        <v>5.194</v>
      </c>
      <c r="P134">
        <v>5.6849999999999996</v>
      </c>
      <c r="Q134">
        <v>5.8259999999999996</v>
      </c>
      <c r="R134">
        <v>1.359</v>
      </c>
      <c r="S134">
        <v>6.71</v>
      </c>
      <c r="T134">
        <v>4.6749999999999998</v>
      </c>
      <c r="U134">
        <v>3.8639999999999999</v>
      </c>
      <c r="V134">
        <v>6.3780000000000001</v>
      </c>
      <c r="W134">
        <v>5.3639999999999999</v>
      </c>
      <c r="X134">
        <v>5.5609999999999999</v>
      </c>
      <c r="Y134">
        <v>3.129</v>
      </c>
      <c r="Z134">
        <v>3.9039999999999999</v>
      </c>
      <c r="AA134">
        <v>6.8230000000000004</v>
      </c>
      <c r="AB134">
        <v>7.1239999999999997</v>
      </c>
      <c r="AC134">
        <v>7.492</v>
      </c>
      <c r="AD134">
        <v>7.5359999999999996</v>
      </c>
      <c r="AE134">
        <v>7.3289999999999997</v>
      </c>
      <c r="AF134">
        <v>10.186</v>
      </c>
      <c r="AG134">
        <v>10.987</v>
      </c>
      <c r="AH134">
        <v>12.917</v>
      </c>
      <c r="AI134">
        <v>13.295999999999999</v>
      </c>
      <c r="AJ134">
        <v>11.657999999999999</v>
      </c>
      <c r="AK134">
        <v>8.0869999999999997</v>
      </c>
      <c r="AL134">
        <v>8.5530000000000008</v>
      </c>
      <c r="AM134">
        <v>12.433999999999999</v>
      </c>
      <c r="AN134">
        <v>14.930999999999999</v>
      </c>
      <c r="AO134">
        <v>3.8639999999999999</v>
      </c>
      <c r="AP134">
        <v>6.3780000000000001</v>
      </c>
    </row>
    <row r="135" spans="1:42" x14ac:dyDescent="0.2">
      <c r="A135" t="s">
        <v>294</v>
      </c>
      <c r="B135">
        <v>2.363</v>
      </c>
      <c r="C135">
        <v>4.391</v>
      </c>
      <c r="D135">
        <v>3.536</v>
      </c>
      <c r="E135">
        <v>3.4609999999999999</v>
      </c>
      <c r="F135">
        <v>3.617</v>
      </c>
      <c r="G135">
        <v>4.492</v>
      </c>
      <c r="H135">
        <v>0.42099999999999999</v>
      </c>
      <c r="I135">
        <v>0.71399999999999997</v>
      </c>
      <c r="J135">
        <v>2.7570000000000001</v>
      </c>
      <c r="K135">
        <v>2.8109999999999999</v>
      </c>
      <c r="L135">
        <v>2.9140000000000001</v>
      </c>
      <c r="M135">
        <v>2.9359999999999999</v>
      </c>
      <c r="N135">
        <v>5.0819999999999999</v>
      </c>
      <c r="O135">
        <v>5.2359999999999998</v>
      </c>
      <c r="P135">
        <v>5.7249999999999996</v>
      </c>
      <c r="Q135">
        <v>5.8650000000000002</v>
      </c>
      <c r="R135">
        <v>1.3640000000000001</v>
      </c>
      <c r="S135">
        <v>6.7329999999999997</v>
      </c>
      <c r="T135">
        <v>4.6859999999999999</v>
      </c>
      <c r="U135">
        <v>3.867</v>
      </c>
      <c r="V135">
        <v>6.3970000000000002</v>
      </c>
      <c r="W135">
        <v>5.375</v>
      </c>
      <c r="X135">
        <v>5.5810000000000004</v>
      </c>
      <c r="Y135">
        <v>3.1539999999999999</v>
      </c>
      <c r="Z135">
        <v>3.968</v>
      </c>
      <c r="AA135">
        <v>6.8490000000000002</v>
      </c>
      <c r="AB135">
        <v>7.1420000000000003</v>
      </c>
      <c r="AC135">
        <v>7.4980000000000002</v>
      </c>
      <c r="AD135">
        <v>7.5410000000000004</v>
      </c>
      <c r="AE135">
        <v>7.34</v>
      </c>
      <c r="AF135">
        <v>10.269</v>
      </c>
      <c r="AG135">
        <v>11.071</v>
      </c>
      <c r="AH135">
        <v>12.971</v>
      </c>
      <c r="AI135">
        <v>13.342000000000001</v>
      </c>
      <c r="AJ135">
        <v>11.741</v>
      </c>
      <c r="AK135">
        <v>8.109</v>
      </c>
      <c r="AL135">
        <v>8.56</v>
      </c>
      <c r="AM135">
        <v>12.537000000000001</v>
      </c>
      <c r="AN135">
        <v>14.996</v>
      </c>
      <c r="AO135">
        <v>3.867</v>
      </c>
      <c r="AP135">
        <v>6.3970000000000002</v>
      </c>
    </row>
    <row r="136" spans="1:42" x14ac:dyDescent="0.2">
      <c r="A136" t="s">
        <v>295</v>
      </c>
      <c r="B136">
        <v>2.3679999999999999</v>
      </c>
      <c r="C136">
        <v>4.4180000000000001</v>
      </c>
      <c r="D136">
        <v>3.5430000000000001</v>
      </c>
      <c r="E136">
        <v>3.4670000000000001</v>
      </c>
      <c r="F136">
        <v>3.6339999999999999</v>
      </c>
      <c r="G136">
        <v>4.5110000000000001</v>
      </c>
      <c r="H136">
        <v>0.42599999999999999</v>
      </c>
      <c r="I136">
        <v>0.72899999999999998</v>
      </c>
      <c r="J136">
        <v>2.766</v>
      </c>
      <c r="K136">
        <v>2.819</v>
      </c>
      <c r="L136">
        <v>2.92</v>
      </c>
      <c r="M136">
        <v>2.9409999999999998</v>
      </c>
      <c r="N136">
        <v>5.1230000000000002</v>
      </c>
      <c r="O136">
        <v>5.2779999999999996</v>
      </c>
      <c r="P136">
        <v>5.7640000000000002</v>
      </c>
      <c r="Q136">
        <v>5.9020000000000001</v>
      </c>
      <c r="R136">
        <v>1.3680000000000001</v>
      </c>
      <c r="S136">
        <v>6.7549999999999999</v>
      </c>
      <c r="T136">
        <v>4.6959999999999997</v>
      </c>
      <c r="U136">
        <v>3.8690000000000002</v>
      </c>
      <c r="V136">
        <v>6.415</v>
      </c>
      <c r="W136">
        <v>5.3869999999999996</v>
      </c>
      <c r="X136">
        <v>5.6</v>
      </c>
      <c r="Y136">
        <v>3.1779999999999999</v>
      </c>
      <c r="Z136">
        <v>4.0309999999999997</v>
      </c>
      <c r="AA136">
        <v>6.875</v>
      </c>
      <c r="AB136">
        <v>7.1589999999999998</v>
      </c>
      <c r="AC136">
        <v>7.5039999999999996</v>
      </c>
      <c r="AD136">
        <v>7.5449999999999999</v>
      </c>
      <c r="AE136">
        <v>7.351</v>
      </c>
      <c r="AF136">
        <v>10.352</v>
      </c>
      <c r="AG136">
        <v>11.154</v>
      </c>
      <c r="AH136">
        <v>13.025</v>
      </c>
      <c r="AI136">
        <v>13.387</v>
      </c>
      <c r="AJ136">
        <v>11.821</v>
      </c>
      <c r="AK136">
        <v>8.1300000000000008</v>
      </c>
      <c r="AL136">
        <v>8.5670000000000002</v>
      </c>
      <c r="AM136">
        <v>12.638999999999999</v>
      </c>
      <c r="AN136">
        <v>15.06</v>
      </c>
      <c r="AO136">
        <v>3.8690000000000002</v>
      </c>
      <c r="AP136">
        <v>6.415</v>
      </c>
    </row>
    <row r="137" spans="1:42" x14ac:dyDescent="0.2">
      <c r="A137" t="s">
        <v>296</v>
      </c>
      <c r="B137">
        <v>2.3719999999999999</v>
      </c>
      <c r="C137">
        <v>4.4450000000000003</v>
      </c>
      <c r="D137">
        <v>3.55</v>
      </c>
      <c r="E137">
        <v>3.4740000000000002</v>
      </c>
      <c r="F137">
        <v>3.6509999999999998</v>
      </c>
      <c r="G137">
        <v>4.53</v>
      </c>
      <c r="H137">
        <v>0.43099999999999999</v>
      </c>
      <c r="I137">
        <v>0.745</v>
      </c>
      <c r="J137">
        <v>2.7749999999999999</v>
      </c>
      <c r="K137">
        <v>2.827</v>
      </c>
      <c r="L137">
        <v>2.9260000000000002</v>
      </c>
      <c r="M137">
        <v>2.9470000000000001</v>
      </c>
      <c r="N137">
        <v>5.1639999999999997</v>
      </c>
      <c r="O137">
        <v>5.32</v>
      </c>
      <c r="P137">
        <v>5.8029999999999999</v>
      </c>
      <c r="Q137">
        <v>5.9390000000000001</v>
      </c>
      <c r="R137">
        <v>1.373</v>
      </c>
      <c r="S137">
        <v>6.7759999999999998</v>
      </c>
      <c r="T137">
        <v>4.7060000000000004</v>
      </c>
      <c r="U137">
        <v>3.87</v>
      </c>
      <c r="V137">
        <v>6.4329999999999998</v>
      </c>
      <c r="W137">
        <v>5.3979999999999997</v>
      </c>
      <c r="X137">
        <v>5.6189999999999998</v>
      </c>
      <c r="Y137">
        <v>3.2010000000000001</v>
      </c>
      <c r="Z137">
        <v>4.0940000000000003</v>
      </c>
      <c r="AA137">
        <v>6.9</v>
      </c>
      <c r="AB137">
        <v>7.1749999999999998</v>
      </c>
      <c r="AC137">
        <v>7.51</v>
      </c>
      <c r="AD137">
        <v>7.5490000000000004</v>
      </c>
      <c r="AE137">
        <v>7.3620000000000001</v>
      </c>
      <c r="AF137">
        <v>10.433999999999999</v>
      </c>
      <c r="AG137">
        <v>11.236000000000001</v>
      </c>
      <c r="AH137">
        <v>13.077</v>
      </c>
      <c r="AI137">
        <v>13.430999999999999</v>
      </c>
      <c r="AJ137">
        <v>11.9</v>
      </c>
      <c r="AK137">
        <v>8.15</v>
      </c>
      <c r="AL137">
        <v>8.5739999999999998</v>
      </c>
      <c r="AM137">
        <v>12.74</v>
      </c>
      <c r="AN137">
        <v>15.122999999999999</v>
      </c>
      <c r="AO137">
        <v>3.87</v>
      </c>
      <c r="AP137">
        <v>6.4329999999999998</v>
      </c>
    </row>
    <row r="138" spans="1:42" x14ac:dyDescent="0.2">
      <c r="A138" t="s">
        <v>297</v>
      </c>
      <c r="B138">
        <v>2.3759999999999999</v>
      </c>
      <c r="C138">
        <v>4.4710000000000001</v>
      </c>
      <c r="D138">
        <v>3.556</v>
      </c>
      <c r="E138">
        <v>3.48</v>
      </c>
      <c r="F138">
        <v>3.6680000000000001</v>
      </c>
      <c r="G138">
        <v>4.548</v>
      </c>
      <c r="H138">
        <v>0.436</v>
      </c>
      <c r="I138">
        <v>0.76</v>
      </c>
      <c r="J138">
        <v>2.7829999999999999</v>
      </c>
      <c r="K138">
        <v>2.835</v>
      </c>
      <c r="L138">
        <v>2.9319999999999999</v>
      </c>
      <c r="M138">
        <v>2.9529999999999998</v>
      </c>
      <c r="N138">
        <v>5.2039999999999997</v>
      </c>
      <c r="O138">
        <v>5.3609999999999998</v>
      </c>
      <c r="P138">
        <v>5.8410000000000002</v>
      </c>
      <c r="Q138">
        <v>5.976</v>
      </c>
      <c r="R138">
        <v>1.377</v>
      </c>
      <c r="S138">
        <v>6.7969999999999997</v>
      </c>
      <c r="T138">
        <v>4.7160000000000002</v>
      </c>
      <c r="U138">
        <v>3.8719999999999999</v>
      </c>
      <c r="V138">
        <v>6.4509999999999996</v>
      </c>
      <c r="W138">
        <v>5.4080000000000004</v>
      </c>
      <c r="X138">
        <v>5.6379999999999999</v>
      </c>
      <c r="Y138">
        <v>3.2240000000000002</v>
      </c>
      <c r="Z138">
        <v>4.157</v>
      </c>
      <c r="AA138">
        <v>6.9240000000000004</v>
      </c>
      <c r="AB138">
        <v>7.1909999999999998</v>
      </c>
      <c r="AC138">
        <v>7.5149999999999997</v>
      </c>
      <c r="AD138">
        <v>7.5529999999999999</v>
      </c>
      <c r="AE138">
        <v>7.3719999999999999</v>
      </c>
      <c r="AF138">
        <v>10.516</v>
      </c>
      <c r="AG138">
        <v>11.316000000000001</v>
      </c>
      <c r="AH138">
        <v>13.128</v>
      </c>
      <c r="AI138">
        <v>13.474</v>
      </c>
      <c r="AJ138">
        <v>11.977</v>
      </c>
      <c r="AK138">
        <v>8.17</v>
      </c>
      <c r="AL138">
        <v>8.58</v>
      </c>
      <c r="AM138">
        <v>12.839</v>
      </c>
      <c r="AN138">
        <v>15.183</v>
      </c>
      <c r="AO138">
        <v>3.8719999999999999</v>
      </c>
      <c r="AP138">
        <v>6.4509999999999996</v>
      </c>
    </row>
    <row r="139" spans="1:42" x14ac:dyDescent="0.2">
      <c r="A139" t="s">
        <v>298</v>
      </c>
      <c r="B139">
        <v>2.3809999999999998</v>
      </c>
      <c r="C139">
        <v>4.4969999999999999</v>
      </c>
      <c r="D139">
        <v>3.5630000000000002</v>
      </c>
      <c r="E139">
        <v>3.4860000000000002</v>
      </c>
      <c r="F139">
        <v>3.6850000000000001</v>
      </c>
      <c r="G139">
        <v>4.5659999999999998</v>
      </c>
      <c r="H139">
        <v>0.441</v>
      </c>
      <c r="I139">
        <v>0.77600000000000002</v>
      </c>
      <c r="J139">
        <v>2.7919999999999998</v>
      </c>
      <c r="K139">
        <v>2.8420000000000001</v>
      </c>
      <c r="L139">
        <v>2.9380000000000002</v>
      </c>
      <c r="M139">
        <v>2.9580000000000002</v>
      </c>
      <c r="N139">
        <v>5.2439999999999998</v>
      </c>
      <c r="O139">
        <v>5.4020000000000001</v>
      </c>
      <c r="P139">
        <v>5.8789999999999996</v>
      </c>
      <c r="Q139">
        <v>6.0119999999999996</v>
      </c>
      <c r="R139">
        <v>1.3819999999999999</v>
      </c>
      <c r="S139">
        <v>6.8179999999999996</v>
      </c>
      <c r="T139">
        <v>4.726</v>
      </c>
      <c r="U139">
        <v>3.8740000000000001</v>
      </c>
      <c r="V139">
        <v>6.468</v>
      </c>
      <c r="W139">
        <v>5.4180000000000001</v>
      </c>
      <c r="X139">
        <v>5.6559999999999997</v>
      </c>
      <c r="Y139">
        <v>3.246</v>
      </c>
      <c r="Z139">
        <v>4.22</v>
      </c>
      <c r="AA139">
        <v>6.9480000000000004</v>
      </c>
      <c r="AB139">
        <v>7.2069999999999999</v>
      </c>
      <c r="AC139">
        <v>7.52</v>
      </c>
      <c r="AD139">
        <v>7.5579999999999998</v>
      </c>
      <c r="AE139">
        <v>7.3819999999999997</v>
      </c>
      <c r="AF139">
        <v>10.598000000000001</v>
      </c>
      <c r="AG139">
        <v>11.396000000000001</v>
      </c>
      <c r="AH139">
        <v>13.178000000000001</v>
      </c>
      <c r="AI139">
        <v>13.516</v>
      </c>
      <c r="AJ139">
        <v>12.053000000000001</v>
      </c>
      <c r="AK139">
        <v>8.1890000000000001</v>
      </c>
      <c r="AL139">
        <v>8.5860000000000003</v>
      </c>
      <c r="AM139">
        <v>12.936999999999999</v>
      </c>
      <c r="AN139">
        <v>15.243</v>
      </c>
      <c r="AO139">
        <v>3.8740000000000001</v>
      </c>
      <c r="AP139">
        <v>6.468</v>
      </c>
    </row>
    <row r="140" spans="1:42" x14ac:dyDescent="0.2">
      <c r="A140" t="s">
        <v>299</v>
      </c>
      <c r="B140">
        <v>2.3849999999999998</v>
      </c>
      <c r="C140">
        <v>4.5229999999999997</v>
      </c>
      <c r="D140">
        <v>3.569</v>
      </c>
      <c r="E140">
        <v>3.492</v>
      </c>
      <c r="F140">
        <v>3.7010000000000001</v>
      </c>
      <c r="G140">
        <v>4.5830000000000002</v>
      </c>
      <c r="H140">
        <v>0.44600000000000001</v>
      </c>
      <c r="I140">
        <v>0.79100000000000004</v>
      </c>
      <c r="J140">
        <v>2.8</v>
      </c>
      <c r="K140">
        <v>2.85</v>
      </c>
      <c r="L140">
        <v>2.9430000000000001</v>
      </c>
      <c r="M140">
        <v>2.9630000000000001</v>
      </c>
      <c r="N140">
        <v>5.2839999999999998</v>
      </c>
      <c r="O140">
        <v>5.4420000000000002</v>
      </c>
      <c r="P140">
        <v>5.9160000000000004</v>
      </c>
      <c r="Q140">
        <v>6.048</v>
      </c>
      <c r="R140">
        <v>1.3859999999999999</v>
      </c>
      <c r="S140">
        <v>6.8380000000000001</v>
      </c>
      <c r="T140">
        <v>4.7359999999999998</v>
      </c>
      <c r="U140">
        <v>3.8759999999999999</v>
      </c>
      <c r="V140">
        <v>6.4850000000000003</v>
      </c>
      <c r="W140">
        <v>5.4290000000000003</v>
      </c>
      <c r="X140">
        <v>5.6740000000000004</v>
      </c>
      <c r="Y140">
        <v>3.2669999999999999</v>
      </c>
      <c r="Z140">
        <v>4.2830000000000004</v>
      </c>
      <c r="AA140">
        <v>6.9710000000000001</v>
      </c>
      <c r="AB140">
        <v>7.2220000000000004</v>
      </c>
      <c r="AC140">
        <v>7.5259999999999998</v>
      </c>
      <c r="AD140">
        <v>7.5609999999999999</v>
      </c>
      <c r="AE140">
        <v>7.3920000000000003</v>
      </c>
      <c r="AF140">
        <v>10.679</v>
      </c>
      <c r="AG140">
        <v>11.474</v>
      </c>
      <c r="AH140">
        <v>13.226000000000001</v>
      </c>
      <c r="AI140">
        <v>13.557</v>
      </c>
      <c r="AJ140">
        <v>12.125999999999999</v>
      </c>
      <c r="AK140">
        <v>8.2080000000000002</v>
      </c>
      <c r="AL140">
        <v>8.5920000000000005</v>
      </c>
      <c r="AM140">
        <v>13.032999999999999</v>
      </c>
      <c r="AN140">
        <v>15.301</v>
      </c>
      <c r="AO140">
        <v>3.8759999999999999</v>
      </c>
      <c r="AP140">
        <v>6.4850000000000003</v>
      </c>
    </row>
    <row r="141" spans="1:42" x14ac:dyDescent="0.2">
      <c r="A141" t="s">
        <v>300</v>
      </c>
      <c r="B141">
        <v>2.3889999999999998</v>
      </c>
      <c r="C141">
        <v>4.548</v>
      </c>
      <c r="D141">
        <v>3.5750000000000002</v>
      </c>
      <c r="E141">
        <v>3.4980000000000002</v>
      </c>
      <c r="F141">
        <v>3.7170000000000001</v>
      </c>
      <c r="G141">
        <v>4.601</v>
      </c>
      <c r="H141">
        <v>0.45</v>
      </c>
      <c r="I141">
        <v>0.80700000000000005</v>
      </c>
      <c r="J141">
        <v>2.8079999999999998</v>
      </c>
      <c r="K141">
        <v>2.8570000000000002</v>
      </c>
      <c r="L141">
        <v>2.9489999999999998</v>
      </c>
      <c r="M141">
        <v>2.968</v>
      </c>
      <c r="N141">
        <v>5.3230000000000004</v>
      </c>
      <c r="O141">
        <v>5.4820000000000002</v>
      </c>
      <c r="P141">
        <v>5.9530000000000003</v>
      </c>
      <c r="Q141">
        <v>6.0830000000000002</v>
      </c>
      <c r="R141">
        <v>1.39</v>
      </c>
      <c r="S141">
        <v>6.8579999999999997</v>
      </c>
      <c r="T141">
        <v>4.7450000000000001</v>
      </c>
      <c r="U141">
        <v>3.8780000000000001</v>
      </c>
      <c r="V141">
        <v>6.5019999999999998</v>
      </c>
      <c r="W141">
        <v>5.4379999999999997</v>
      </c>
      <c r="X141">
        <v>5.6909999999999998</v>
      </c>
      <c r="Y141">
        <v>3.2879999999999998</v>
      </c>
      <c r="Z141">
        <v>4.3449999999999998</v>
      </c>
      <c r="AA141">
        <v>6.9930000000000003</v>
      </c>
      <c r="AB141">
        <v>7.2359999999999998</v>
      </c>
      <c r="AC141">
        <v>7.53</v>
      </c>
      <c r="AD141">
        <v>7.5650000000000004</v>
      </c>
      <c r="AE141">
        <v>7.4009999999999998</v>
      </c>
      <c r="AF141">
        <v>10.759</v>
      </c>
      <c r="AG141">
        <v>11.551</v>
      </c>
      <c r="AH141">
        <v>13.273999999999999</v>
      </c>
      <c r="AI141">
        <v>13.597</v>
      </c>
      <c r="AJ141">
        <v>12.199</v>
      </c>
      <c r="AK141">
        <v>8.2260000000000009</v>
      </c>
      <c r="AL141">
        <v>8.5980000000000008</v>
      </c>
      <c r="AM141">
        <v>13.128</v>
      </c>
      <c r="AN141">
        <v>15.358000000000001</v>
      </c>
      <c r="AO141">
        <v>3.8780000000000001</v>
      </c>
      <c r="AP141">
        <v>6.5019999999999998</v>
      </c>
    </row>
    <row r="142" spans="1:42" x14ac:dyDescent="0.2">
      <c r="A142" t="s">
        <v>301</v>
      </c>
      <c r="B142">
        <v>2.3929999999999998</v>
      </c>
      <c r="C142">
        <v>4.5730000000000004</v>
      </c>
      <c r="D142">
        <v>3.581</v>
      </c>
      <c r="E142">
        <v>3.504</v>
      </c>
      <c r="F142">
        <v>3.7330000000000001</v>
      </c>
      <c r="G142">
        <v>4.6180000000000003</v>
      </c>
      <c r="H142">
        <v>0.45500000000000002</v>
      </c>
      <c r="I142">
        <v>0.82199999999999995</v>
      </c>
      <c r="J142">
        <v>2.8159999999999998</v>
      </c>
      <c r="K142">
        <v>2.8639999999999999</v>
      </c>
      <c r="L142">
        <v>2.9540000000000002</v>
      </c>
      <c r="M142">
        <v>2.9740000000000002</v>
      </c>
      <c r="N142">
        <v>5.3620000000000001</v>
      </c>
      <c r="O142">
        <v>5.5220000000000002</v>
      </c>
      <c r="P142">
        <v>5.9889999999999999</v>
      </c>
      <c r="Q142">
        <v>6.1180000000000003</v>
      </c>
      <c r="R142">
        <v>1.395</v>
      </c>
      <c r="S142">
        <v>6.8769999999999998</v>
      </c>
      <c r="T142">
        <v>4.7539999999999996</v>
      </c>
      <c r="U142">
        <v>3.879</v>
      </c>
      <c r="V142">
        <v>6.5179999999999998</v>
      </c>
      <c r="W142">
        <v>5.4480000000000004</v>
      </c>
      <c r="X142">
        <v>5.7080000000000002</v>
      </c>
      <c r="Y142">
        <v>3.3079999999999998</v>
      </c>
      <c r="Z142">
        <v>4.407</v>
      </c>
      <c r="AA142">
        <v>7.0140000000000002</v>
      </c>
      <c r="AB142">
        <v>7.25</v>
      </c>
      <c r="AC142">
        <v>7.5350000000000001</v>
      </c>
      <c r="AD142">
        <v>7.569</v>
      </c>
      <c r="AE142">
        <v>7.41</v>
      </c>
      <c r="AF142">
        <v>10.839</v>
      </c>
      <c r="AG142">
        <v>11.625999999999999</v>
      </c>
      <c r="AH142">
        <v>13.32</v>
      </c>
      <c r="AI142">
        <v>13.635999999999999</v>
      </c>
      <c r="AJ142">
        <v>12.27</v>
      </c>
      <c r="AK142">
        <v>8.2430000000000003</v>
      </c>
      <c r="AL142">
        <v>8.6039999999999992</v>
      </c>
      <c r="AM142">
        <v>13.222</v>
      </c>
      <c r="AN142">
        <v>15.414</v>
      </c>
      <c r="AO142">
        <v>3.879</v>
      </c>
      <c r="AP142">
        <v>6.5179999999999998</v>
      </c>
    </row>
    <row r="143" spans="1:42" x14ac:dyDescent="0.2">
      <c r="A143" t="s">
        <v>302</v>
      </c>
      <c r="B143">
        <v>2.3969999999999998</v>
      </c>
      <c r="C143">
        <v>4.5970000000000004</v>
      </c>
      <c r="D143">
        <v>3.5870000000000002</v>
      </c>
      <c r="E143">
        <v>3.51</v>
      </c>
      <c r="F143">
        <v>3.7490000000000001</v>
      </c>
      <c r="G143">
        <v>4.6349999999999998</v>
      </c>
      <c r="H143">
        <v>0.45900000000000002</v>
      </c>
      <c r="I143">
        <v>0.83799999999999997</v>
      </c>
      <c r="J143">
        <v>2.8239999999999998</v>
      </c>
      <c r="K143">
        <v>2.871</v>
      </c>
      <c r="L143">
        <v>2.96</v>
      </c>
      <c r="M143">
        <v>2.9790000000000001</v>
      </c>
      <c r="N143">
        <v>5.4009999999999998</v>
      </c>
      <c r="O143">
        <v>5.5609999999999999</v>
      </c>
      <c r="P143">
        <v>6.0250000000000004</v>
      </c>
      <c r="Q143">
        <v>6.1520000000000001</v>
      </c>
      <c r="R143">
        <v>1.399</v>
      </c>
      <c r="S143">
        <v>6.8959999999999999</v>
      </c>
      <c r="T143">
        <v>4.7629999999999999</v>
      </c>
      <c r="U143">
        <v>3.8809999999999998</v>
      </c>
      <c r="V143">
        <v>6.5330000000000004</v>
      </c>
      <c r="W143">
        <v>5.4569999999999999</v>
      </c>
      <c r="X143">
        <v>5.7249999999999996</v>
      </c>
      <c r="Y143">
        <v>3.327</v>
      </c>
      <c r="Z143">
        <v>4.4690000000000003</v>
      </c>
      <c r="AA143">
        <v>7.0350000000000001</v>
      </c>
      <c r="AB143">
        <v>7.2640000000000002</v>
      </c>
      <c r="AC143">
        <v>7.54</v>
      </c>
      <c r="AD143">
        <v>7.5720000000000001</v>
      </c>
      <c r="AE143">
        <v>7.4180000000000001</v>
      </c>
      <c r="AF143">
        <v>10.917999999999999</v>
      </c>
      <c r="AG143">
        <v>11.701000000000001</v>
      </c>
      <c r="AH143">
        <v>13.366</v>
      </c>
      <c r="AI143">
        <v>13.673999999999999</v>
      </c>
      <c r="AJ143">
        <v>12.339</v>
      </c>
      <c r="AK143">
        <v>8.26</v>
      </c>
      <c r="AL143">
        <v>8.609</v>
      </c>
      <c r="AM143">
        <v>13.314</v>
      </c>
      <c r="AN143">
        <v>15.468</v>
      </c>
      <c r="AO143">
        <v>3.8809999999999998</v>
      </c>
      <c r="AP143">
        <v>6.5330000000000004</v>
      </c>
    </row>
    <row r="144" spans="1:42" x14ac:dyDescent="0.2">
      <c r="A144" t="s">
        <v>303</v>
      </c>
      <c r="B144">
        <v>2.4009999999999998</v>
      </c>
      <c r="C144">
        <v>4.6219999999999999</v>
      </c>
      <c r="D144">
        <v>3.5920000000000001</v>
      </c>
      <c r="E144">
        <v>3.516</v>
      </c>
      <c r="F144">
        <v>3.7639999999999998</v>
      </c>
      <c r="G144">
        <v>4.6509999999999998</v>
      </c>
      <c r="H144">
        <v>0.46300000000000002</v>
      </c>
      <c r="I144">
        <v>0.85399999999999998</v>
      </c>
      <c r="J144">
        <v>2.8319999999999999</v>
      </c>
      <c r="K144">
        <v>2.8780000000000001</v>
      </c>
      <c r="L144">
        <v>2.9649999999999999</v>
      </c>
      <c r="M144">
        <v>2.9830000000000001</v>
      </c>
      <c r="N144">
        <v>5.44</v>
      </c>
      <c r="O144">
        <v>5.6</v>
      </c>
      <c r="P144">
        <v>6.06</v>
      </c>
      <c r="Q144">
        <v>6.1859999999999999</v>
      </c>
      <c r="R144">
        <v>1.4039999999999999</v>
      </c>
      <c r="S144">
        <v>6.915</v>
      </c>
      <c r="T144">
        <v>4.7720000000000002</v>
      </c>
      <c r="U144">
        <v>3.8820000000000001</v>
      </c>
      <c r="V144">
        <v>6.5490000000000004</v>
      </c>
      <c r="W144">
        <v>5.4669999999999996</v>
      </c>
      <c r="X144">
        <v>5.7409999999999997</v>
      </c>
      <c r="Y144">
        <v>3.3460000000000001</v>
      </c>
      <c r="Z144">
        <v>4.53</v>
      </c>
      <c r="AA144">
        <v>7.0549999999999997</v>
      </c>
      <c r="AB144">
        <v>7.2770000000000001</v>
      </c>
      <c r="AC144">
        <v>7.5439999999999996</v>
      </c>
      <c r="AD144">
        <v>7.5759999999999996</v>
      </c>
      <c r="AE144">
        <v>7.4269999999999996</v>
      </c>
      <c r="AF144">
        <v>10.996</v>
      </c>
      <c r="AG144">
        <v>11.773999999999999</v>
      </c>
      <c r="AH144">
        <v>13.41</v>
      </c>
      <c r="AI144">
        <v>13.712</v>
      </c>
      <c r="AJ144">
        <v>12.407</v>
      </c>
      <c r="AK144">
        <v>8.2759999999999998</v>
      </c>
      <c r="AL144">
        <v>8.6150000000000002</v>
      </c>
      <c r="AM144">
        <v>13.404999999999999</v>
      </c>
      <c r="AN144">
        <v>15.521000000000001</v>
      </c>
      <c r="AO144">
        <v>3.8820000000000001</v>
      </c>
      <c r="AP144">
        <v>6.5490000000000004</v>
      </c>
    </row>
    <row r="145" spans="1:42" x14ac:dyDescent="0.2">
      <c r="A145" t="s">
        <v>304</v>
      </c>
      <c r="B145">
        <v>2.4039999999999999</v>
      </c>
      <c r="C145">
        <v>4.6459999999999999</v>
      </c>
      <c r="D145">
        <v>3.5979999999999999</v>
      </c>
      <c r="E145">
        <v>3.5209999999999999</v>
      </c>
      <c r="F145">
        <v>3.78</v>
      </c>
      <c r="G145">
        <v>4.6680000000000001</v>
      </c>
      <c r="H145">
        <v>0.46800000000000003</v>
      </c>
      <c r="I145">
        <v>0.86899999999999999</v>
      </c>
      <c r="J145">
        <v>2.839</v>
      </c>
      <c r="K145">
        <v>2.8849999999999998</v>
      </c>
      <c r="L145">
        <v>2.97</v>
      </c>
      <c r="M145">
        <v>2.988</v>
      </c>
      <c r="N145">
        <v>5.4779999999999998</v>
      </c>
      <c r="O145">
        <v>5.6379999999999999</v>
      </c>
      <c r="P145">
        <v>6.0949999999999998</v>
      </c>
      <c r="Q145">
        <v>6.2190000000000003</v>
      </c>
      <c r="R145">
        <v>1.4079999999999999</v>
      </c>
      <c r="S145">
        <v>6.9329999999999998</v>
      </c>
      <c r="T145">
        <v>4.78</v>
      </c>
      <c r="U145">
        <v>3.8839999999999999</v>
      </c>
      <c r="V145">
        <v>6.5629999999999997</v>
      </c>
      <c r="W145">
        <v>5.4749999999999996</v>
      </c>
      <c r="X145">
        <v>5.7569999999999997</v>
      </c>
      <c r="Y145">
        <v>3.3639999999999999</v>
      </c>
      <c r="Z145">
        <v>4.5910000000000002</v>
      </c>
      <c r="AA145">
        <v>7.0750000000000002</v>
      </c>
      <c r="AB145">
        <v>7.29</v>
      </c>
      <c r="AC145">
        <v>7.5490000000000004</v>
      </c>
      <c r="AD145">
        <v>7.5789999999999997</v>
      </c>
      <c r="AE145">
        <v>7.4349999999999996</v>
      </c>
      <c r="AF145">
        <v>11.073</v>
      </c>
      <c r="AG145">
        <v>11.846</v>
      </c>
      <c r="AH145">
        <v>13.452999999999999</v>
      </c>
      <c r="AI145">
        <v>13.747999999999999</v>
      </c>
      <c r="AJ145">
        <v>12.473000000000001</v>
      </c>
      <c r="AK145">
        <v>8.2919999999999998</v>
      </c>
      <c r="AL145">
        <v>8.6199999999999992</v>
      </c>
      <c r="AM145">
        <v>13.494</v>
      </c>
      <c r="AN145">
        <v>15.573</v>
      </c>
      <c r="AO145">
        <v>3.8839999999999999</v>
      </c>
      <c r="AP145">
        <v>6.5629999999999997</v>
      </c>
    </row>
    <row r="146" spans="1:42" x14ac:dyDescent="0.2">
      <c r="A146" t="s">
        <v>305</v>
      </c>
      <c r="B146">
        <v>2.4079999999999999</v>
      </c>
      <c r="C146">
        <v>4.6689999999999996</v>
      </c>
      <c r="D146">
        <v>3.6040000000000001</v>
      </c>
      <c r="E146">
        <v>3.5270000000000001</v>
      </c>
      <c r="F146">
        <v>3.7949999999999999</v>
      </c>
      <c r="G146">
        <v>4.6840000000000002</v>
      </c>
      <c r="H146">
        <v>0.47199999999999998</v>
      </c>
      <c r="I146">
        <v>0.88500000000000001</v>
      </c>
      <c r="J146">
        <v>2.847</v>
      </c>
      <c r="K146">
        <v>2.891</v>
      </c>
      <c r="L146">
        <v>2.9750000000000001</v>
      </c>
      <c r="M146">
        <v>2.9929999999999999</v>
      </c>
      <c r="N146">
        <v>5.5149999999999997</v>
      </c>
      <c r="O146">
        <v>5.6760000000000002</v>
      </c>
      <c r="P146">
        <v>6.13</v>
      </c>
      <c r="Q146">
        <v>6.2519999999999998</v>
      </c>
      <c r="R146">
        <v>1.413</v>
      </c>
      <c r="S146">
        <v>6.95</v>
      </c>
      <c r="T146">
        <v>4.7889999999999997</v>
      </c>
      <c r="U146">
        <v>3.8849999999999998</v>
      </c>
      <c r="V146">
        <v>6.5780000000000003</v>
      </c>
      <c r="W146">
        <v>5.484</v>
      </c>
      <c r="X146">
        <v>5.7729999999999997</v>
      </c>
      <c r="Y146">
        <v>3.3820000000000001</v>
      </c>
      <c r="Z146">
        <v>4.6509999999999998</v>
      </c>
      <c r="AA146">
        <v>7.0940000000000003</v>
      </c>
      <c r="AB146">
        <v>7.3019999999999996</v>
      </c>
      <c r="AC146">
        <v>7.5529999999999999</v>
      </c>
      <c r="AD146">
        <v>7.5819999999999999</v>
      </c>
      <c r="AE146">
        <v>7.4429999999999996</v>
      </c>
      <c r="AF146">
        <v>11.15</v>
      </c>
      <c r="AG146">
        <v>11.917</v>
      </c>
      <c r="AH146">
        <v>13.494999999999999</v>
      </c>
      <c r="AI146">
        <v>13.782999999999999</v>
      </c>
      <c r="AJ146">
        <v>12.538</v>
      </c>
      <c r="AK146">
        <v>8.3070000000000004</v>
      </c>
      <c r="AL146">
        <v>8.625</v>
      </c>
      <c r="AM146">
        <v>13.581</v>
      </c>
      <c r="AN146">
        <v>15.622999999999999</v>
      </c>
      <c r="AO146">
        <v>3.8849999999999998</v>
      </c>
      <c r="AP146">
        <v>6.5780000000000003</v>
      </c>
    </row>
    <row r="147" spans="1:42" x14ac:dyDescent="0.2">
      <c r="A147" t="s">
        <v>306</v>
      </c>
      <c r="B147">
        <v>2.4119999999999999</v>
      </c>
      <c r="C147">
        <v>4.6920000000000002</v>
      </c>
      <c r="D147">
        <v>3.609</v>
      </c>
      <c r="E147">
        <v>3.532</v>
      </c>
      <c r="F147">
        <v>3.8090000000000002</v>
      </c>
      <c r="G147">
        <v>4.6989999999999998</v>
      </c>
      <c r="H147">
        <v>0.47599999999999998</v>
      </c>
      <c r="I147">
        <v>0.9</v>
      </c>
      <c r="J147">
        <v>2.8540000000000001</v>
      </c>
      <c r="K147">
        <v>2.8980000000000001</v>
      </c>
      <c r="L147">
        <v>2.98</v>
      </c>
      <c r="M147">
        <v>2.9980000000000002</v>
      </c>
      <c r="N147">
        <v>5.5529999999999999</v>
      </c>
      <c r="O147">
        <v>5.7140000000000004</v>
      </c>
      <c r="P147">
        <v>6.1639999999999997</v>
      </c>
      <c r="Q147">
        <v>6.2839999999999998</v>
      </c>
      <c r="R147">
        <v>1.417</v>
      </c>
      <c r="S147">
        <v>6.968</v>
      </c>
      <c r="T147">
        <v>4.7969999999999997</v>
      </c>
      <c r="U147">
        <v>3.887</v>
      </c>
      <c r="V147">
        <v>6.5919999999999996</v>
      </c>
      <c r="W147">
        <v>5.4930000000000003</v>
      </c>
      <c r="X147">
        <v>5.7880000000000003</v>
      </c>
      <c r="Y147">
        <v>3.399</v>
      </c>
      <c r="Z147">
        <v>4.7110000000000003</v>
      </c>
      <c r="AA147">
        <v>7.1120000000000001</v>
      </c>
      <c r="AB147">
        <v>7.3140000000000001</v>
      </c>
      <c r="AC147">
        <v>7.5570000000000004</v>
      </c>
      <c r="AD147">
        <v>7.5860000000000003</v>
      </c>
      <c r="AE147">
        <v>7.45</v>
      </c>
      <c r="AF147">
        <v>11.226000000000001</v>
      </c>
      <c r="AG147">
        <v>11.987</v>
      </c>
      <c r="AH147">
        <v>13.537000000000001</v>
      </c>
      <c r="AI147">
        <v>13.818</v>
      </c>
      <c r="AJ147">
        <v>12.601000000000001</v>
      </c>
      <c r="AK147">
        <v>8.3219999999999992</v>
      </c>
      <c r="AL147">
        <v>8.6289999999999996</v>
      </c>
      <c r="AM147">
        <v>13.667999999999999</v>
      </c>
      <c r="AN147">
        <v>15.673</v>
      </c>
      <c r="AO147">
        <v>3.887</v>
      </c>
      <c r="AP147">
        <v>6.5919999999999996</v>
      </c>
    </row>
    <row r="148" spans="1:42" x14ac:dyDescent="0.2">
      <c r="A148" t="s">
        <v>307</v>
      </c>
      <c r="B148">
        <v>2.415</v>
      </c>
      <c r="C148">
        <v>4.7149999999999999</v>
      </c>
      <c r="D148">
        <v>3.6139999999999999</v>
      </c>
      <c r="E148">
        <v>3.5369999999999999</v>
      </c>
      <c r="F148">
        <v>3.8239999999999998</v>
      </c>
      <c r="G148">
        <v>4.7149999999999999</v>
      </c>
      <c r="H148">
        <v>0.48</v>
      </c>
      <c r="I148">
        <v>0.91600000000000004</v>
      </c>
      <c r="J148">
        <v>2.8610000000000002</v>
      </c>
      <c r="K148">
        <v>2.9039999999999999</v>
      </c>
      <c r="L148">
        <v>2.9849999999999999</v>
      </c>
      <c r="M148">
        <v>3.0019999999999998</v>
      </c>
      <c r="N148">
        <v>5.59</v>
      </c>
      <c r="O148">
        <v>5.7510000000000003</v>
      </c>
      <c r="P148">
        <v>6.1970000000000001</v>
      </c>
      <c r="Q148">
        <v>6.3159999999999998</v>
      </c>
      <c r="R148">
        <v>1.421</v>
      </c>
      <c r="S148">
        <v>6.9850000000000003</v>
      </c>
      <c r="T148">
        <v>4.8049999999999997</v>
      </c>
      <c r="U148">
        <v>3.8879999999999999</v>
      </c>
      <c r="V148">
        <v>6.6059999999999999</v>
      </c>
      <c r="W148">
        <v>5.5010000000000003</v>
      </c>
      <c r="X148">
        <v>5.8029999999999999</v>
      </c>
      <c r="Y148">
        <v>3.4159999999999999</v>
      </c>
      <c r="Z148">
        <v>4.7699999999999996</v>
      </c>
      <c r="AA148">
        <v>7.13</v>
      </c>
      <c r="AB148">
        <v>7.3259999999999996</v>
      </c>
      <c r="AC148">
        <v>7.5609999999999999</v>
      </c>
      <c r="AD148">
        <v>7.5890000000000004</v>
      </c>
      <c r="AE148">
        <v>7.4580000000000002</v>
      </c>
      <c r="AF148">
        <v>11.301</v>
      </c>
      <c r="AG148">
        <v>12.055999999999999</v>
      </c>
      <c r="AH148">
        <v>13.577</v>
      </c>
      <c r="AI148">
        <v>13.852</v>
      </c>
      <c r="AJ148">
        <v>12.663</v>
      </c>
      <c r="AK148">
        <v>8.3360000000000003</v>
      </c>
      <c r="AL148">
        <v>8.6340000000000003</v>
      </c>
      <c r="AM148">
        <v>13.753</v>
      </c>
      <c r="AN148">
        <v>15.721</v>
      </c>
      <c r="AO148">
        <v>3.8879999999999999</v>
      </c>
      <c r="AP148">
        <v>6.6059999999999999</v>
      </c>
    </row>
    <row r="149" spans="1:42" x14ac:dyDescent="0.2">
      <c r="A149" t="s">
        <v>308</v>
      </c>
      <c r="B149">
        <v>2.419</v>
      </c>
      <c r="C149">
        <v>4.7380000000000004</v>
      </c>
      <c r="D149">
        <v>3.6190000000000002</v>
      </c>
      <c r="E149">
        <v>3.5419999999999998</v>
      </c>
      <c r="F149">
        <v>3.8380000000000001</v>
      </c>
      <c r="G149">
        <v>4.7300000000000004</v>
      </c>
      <c r="H149">
        <v>0.48399999999999999</v>
      </c>
      <c r="I149">
        <v>0.93200000000000005</v>
      </c>
      <c r="J149">
        <v>2.8679999999999999</v>
      </c>
      <c r="K149">
        <v>2.91</v>
      </c>
      <c r="L149">
        <v>2.99</v>
      </c>
      <c r="M149">
        <v>3.0070000000000001</v>
      </c>
      <c r="N149">
        <v>5.6269999999999998</v>
      </c>
      <c r="O149">
        <v>5.7880000000000003</v>
      </c>
      <c r="P149">
        <v>6.23</v>
      </c>
      <c r="Q149">
        <v>6.3479999999999999</v>
      </c>
      <c r="R149">
        <v>1.4259999999999999</v>
      </c>
      <c r="S149">
        <v>7.0019999999999998</v>
      </c>
      <c r="T149">
        <v>4.8129999999999997</v>
      </c>
      <c r="U149">
        <v>3.8889999999999998</v>
      </c>
      <c r="V149">
        <v>6.6189999999999998</v>
      </c>
      <c r="W149">
        <v>5.5090000000000003</v>
      </c>
      <c r="X149">
        <v>5.8179999999999996</v>
      </c>
      <c r="Y149">
        <v>3.4319999999999999</v>
      </c>
      <c r="Z149">
        <v>4.8289999999999997</v>
      </c>
      <c r="AA149">
        <v>7.1470000000000002</v>
      </c>
      <c r="AB149">
        <v>7.3369999999999997</v>
      </c>
      <c r="AC149">
        <v>7.5650000000000004</v>
      </c>
      <c r="AD149">
        <v>7.5910000000000002</v>
      </c>
      <c r="AE149">
        <v>7.4649999999999999</v>
      </c>
      <c r="AF149">
        <v>11.375</v>
      </c>
      <c r="AG149">
        <v>12.122999999999999</v>
      </c>
      <c r="AH149">
        <v>13.616</v>
      </c>
      <c r="AI149">
        <v>13.885</v>
      </c>
      <c r="AJ149">
        <v>12.724</v>
      </c>
      <c r="AK149">
        <v>8.35</v>
      </c>
      <c r="AL149">
        <v>8.6379999999999999</v>
      </c>
      <c r="AM149">
        <v>13.836</v>
      </c>
      <c r="AN149">
        <v>15.768000000000001</v>
      </c>
      <c r="AO149">
        <v>3.8889999999999998</v>
      </c>
      <c r="AP149">
        <v>6.6189999999999998</v>
      </c>
    </row>
    <row r="150" spans="1:42" x14ac:dyDescent="0.2">
      <c r="A150" t="s">
        <v>309</v>
      </c>
      <c r="B150">
        <v>2.4220000000000002</v>
      </c>
      <c r="C150">
        <v>4.76</v>
      </c>
      <c r="D150">
        <v>3.6240000000000001</v>
      </c>
      <c r="E150">
        <v>3.5470000000000002</v>
      </c>
      <c r="F150">
        <v>3.8519999999999999</v>
      </c>
      <c r="G150">
        <v>4.7450000000000001</v>
      </c>
      <c r="H150">
        <v>0.48799999999999999</v>
      </c>
      <c r="I150">
        <v>0.94699999999999995</v>
      </c>
      <c r="J150">
        <v>2.875</v>
      </c>
      <c r="K150">
        <v>2.9159999999999999</v>
      </c>
      <c r="L150">
        <v>2.9940000000000002</v>
      </c>
      <c r="M150">
        <v>3.0110000000000001</v>
      </c>
      <c r="N150">
        <v>5.6630000000000003</v>
      </c>
      <c r="O150">
        <v>5.8239999999999998</v>
      </c>
      <c r="P150">
        <v>6.2619999999999996</v>
      </c>
      <c r="Q150">
        <v>6.3789999999999996</v>
      </c>
      <c r="R150">
        <v>1.43</v>
      </c>
      <c r="S150">
        <v>7.0179999999999998</v>
      </c>
      <c r="T150">
        <v>4.82</v>
      </c>
      <c r="U150">
        <v>3.891</v>
      </c>
      <c r="V150">
        <v>6.633</v>
      </c>
      <c r="W150">
        <v>5.5170000000000003</v>
      </c>
      <c r="X150">
        <v>5.8319999999999999</v>
      </c>
      <c r="Y150">
        <v>3.448</v>
      </c>
      <c r="Z150">
        <v>4.8869999999999996</v>
      </c>
      <c r="AA150">
        <v>7.1639999999999997</v>
      </c>
      <c r="AB150">
        <v>7.3479999999999999</v>
      </c>
      <c r="AC150">
        <v>7.5679999999999996</v>
      </c>
      <c r="AD150">
        <v>7.5940000000000003</v>
      </c>
      <c r="AE150">
        <v>7.4720000000000004</v>
      </c>
      <c r="AF150">
        <v>11.449</v>
      </c>
      <c r="AG150">
        <v>12.189</v>
      </c>
      <c r="AH150">
        <v>13.654999999999999</v>
      </c>
      <c r="AI150">
        <v>13.917</v>
      </c>
      <c r="AJ150">
        <v>12.782999999999999</v>
      </c>
      <c r="AK150">
        <v>8.3640000000000008</v>
      </c>
      <c r="AL150">
        <v>8.6430000000000007</v>
      </c>
      <c r="AM150">
        <v>13.917999999999999</v>
      </c>
      <c r="AN150">
        <v>15.814</v>
      </c>
      <c r="AO150">
        <v>3.891</v>
      </c>
      <c r="AP150">
        <v>6.633</v>
      </c>
    </row>
    <row r="151" spans="1:42" x14ac:dyDescent="0.2">
      <c r="A151" t="s">
        <v>310</v>
      </c>
      <c r="B151">
        <v>2.4260000000000002</v>
      </c>
      <c r="C151">
        <v>4.782</v>
      </c>
      <c r="D151">
        <v>3.629</v>
      </c>
      <c r="E151">
        <v>3.552</v>
      </c>
      <c r="F151">
        <v>3.8660000000000001</v>
      </c>
      <c r="G151">
        <v>4.76</v>
      </c>
      <c r="H151">
        <v>0.49199999999999999</v>
      </c>
      <c r="I151">
        <v>0.96299999999999997</v>
      </c>
      <c r="J151">
        <v>2.8820000000000001</v>
      </c>
      <c r="K151">
        <v>2.9220000000000002</v>
      </c>
      <c r="L151">
        <v>2.9990000000000001</v>
      </c>
      <c r="M151">
        <v>3.0150000000000001</v>
      </c>
      <c r="N151">
        <v>5.6989999999999998</v>
      </c>
      <c r="O151">
        <v>5.86</v>
      </c>
      <c r="P151">
        <v>6.2949999999999999</v>
      </c>
      <c r="Q151">
        <v>6.4089999999999998</v>
      </c>
      <c r="R151">
        <v>1.4350000000000001</v>
      </c>
      <c r="S151">
        <v>7.0339999999999998</v>
      </c>
      <c r="T151">
        <v>4.8280000000000003</v>
      </c>
      <c r="U151">
        <v>3.8919999999999999</v>
      </c>
      <c r="V151">
        <v>6.6449999999999996</v>
      </c>
      <c r="W151">
        <v>5.524</v>
      </c>
      <c r="X151">
        <v>5.8460000000000001</v>
      </c>
      <c r="Y151">
        <v>3.4630000000000001</v>
      </c>
      <c r="Z151">
        <v>4.9450000000000003</v>
      </c>
      <c r="AA151">
        <v>7.18</v>
      </c>
      <c r="AB151">
        <v>7.3579999999999997</v>
      </c>
      <c r="AC151">
        <v>7.5720000000000001</v>
      </c>
      <c r="AD151">
        <v>7.5970000000000004</v>
      </c>
      <c r="AE151">
        <v>7.4779999999999998</v>
      </c>
      <c r="AF151">
        <v>11.521000000000001</v>
      </c>
      <c r="AG151">
        <v>12.254</v>
      </c>
      <c r="AH151">
        <v>13.692</v>
      </c>
      <c r="AI151">
        <v>13.948</v>
      </c>
      <c r="AJ151">
        <v>12.840999999999999</v>
      </c>
      <c r="AK151">
        <v>8.3770000000000007</v>
      </c>
      <c r="AL151">
        <v>8.6470000000000002</v>
      </c>
      <c r="AM151">
        <v>13.999000000000001</v>
      </c>
      <c r="AN151">
        <v>15.859</v>
      </c>
      <c r="AO151">
        <v>3.8919999999999999</v>
      </c>
      <c r="AP151">
        <v>6.6449999999999996</v>
      </c>
    </row>
    <row r="152" spans="1:42" x14ac:dyDescent="0.2">
      <c r="A152" t="s">
        <v>311</v>
      </c>
      <c r="B152">
        <v>2.4289999999999998</v>
      </c>
      <c r="C152">
        <v>4.8040000000000003</v>
      </c>
      <c r="D152">
        <v>3.6339999999999999</v>
      </c>
      <c r="E152">
        <v>3.5569999999999999</v>
      </c>
      <c r="F152">
        <v>3.88</v>
      </c>
      <c r="G152">
        <v>4.7750000000000004</v>
      </c>
      <c r="H152">
        <v>0.496</v>
      </c>
      <c r="I152">
        <v>0.97799999999999998</v>
      </c>
      <c r="J152">
        <v>2.8879999999999999</v>
      </c>
      <c r="K152">
        <v>2.9279999999999999</v>
      </c>
      <c r="L152">
        <v>3.004</v>
      </c>
      <c r="M152">
        <v>3.0190000000000001</v>
      </c>
      <c r="N152">
        <v>5.7350000000000003</v>
      </c>
      <c r="O152">
        <v>5.8949999999999996</v>
      </c>
      <c r="P152">
        <v>6.3259999999999996</v>
      </c>
      <c r="Q152">
        <v>6.4390000000000001</v>
      </c>
      <c r="R152">
        <v>1.4390000000000001</v>
      </c>
      <c r="S152">
        <v>7.05</v>
      </c>
      <c r="T152">
        <v>4.835</v>
      </c>
      <c r="U152">
        <v>3.8929999999999998</v>
      </c>
      <c r="V152">
        <v>6.6580000000000004</v>
      </c>
      <c r="W152">
        <v>5.532</v>
      </c>
      <c r="X152">
        <v>5.86</v>
      </c>
      <c r="Y152">
        <v>3.4769999999999999</v>
      </c>
      <c r="Z152">
        <v>5.0019999999999998</v>
      </c>
      <c r="AA152">
        <v>7.1959999999999997</v>
      </c>
      <c r="AB152">
        <v>7.3689999999999998</v>
      </c>
      <c r="AC152">
        <v>7.5750000000000002</v>
      </c>
      <c r="AD152">
        <v>7.6</v>
      </c>
      <c r="AE152">
        <v>7.4850000000000003</v>
      </c>
      <c r="AF152">
        <v>11.593</v>
      </c>
      <c r="AG152">
        <v>12.318</v>
      </c>
      <c r="AH152">
        <v>13.728999999999999</v>
      </c>
      <c r="AI152">
        <v>13.978999999999999</v>
      </c>
      <c r="AJ152">
        <v>12.897</v>
      </c>
      <c r="AK152">
        <v>8.3889999999999993</v>
      </c>
      <c r="AL152">
        <v>8.6509999999999998</v>
      </c>
      <c r="AM152">
        <v>14.077999999999999</v>
      </c>
      <c r="AN152">
        <v>15.903</v>
      </c>
      <c r="AO152">
        <v>3.8929999999999998</v>
      </c>
      <c r="AP152">
        <v>6.6580000000000004</v>
      </c>
    </row>
    <row r="153" spans="1:42" x14ac:dyDescent="0.2">
      <c r="A153" t="s">
        <v>312</v>
      </c>
      <c r="B153">
        <v>2.4319999999999999</v>
      </c>
      <c r="C153">
        <v>4.8250000000000002</v>
      </c>
      <c r="D153">
        <v>3.6389999999999998</v>
      </c>
      <c r="E153">
        <v>3.5609999999999999</v>
      </c>
      <c r="F153">
        <v>3.8940000000000001</v>
      </c>
      <c r="G153">
        <v>4.7889999999999997</v>
      </c>
      <c r="H153">
        <v>0.5</v>
      </c>
      <c r="I153">
        <v>0.99399999999999999</v>
      </c>
      <c r="J153">
        <v>2.895</v>
      </c>
      <c r="K153">
        <v>2.9340000000000002</v>
      </c>
      <c r="L153">
        <v>3.008</v>
      </c>
      <c r="M153">
        <v>3.0230000000000001</v>
      </c>
      <c r="N153">
        <v>5.77</v>
      </c>
      <c r="O153">
        <v>5.93</v>
      </c>
      <c r="P153">
        <v>6.3570000000000002</v>
      </c>
      <c r="Q153">
        <v>6.4690000000000003</v>
      </c>
      <c r="R153">
        <v>1.4430000000000001</v>
      </c>
      <c r="S153">
        <v>7.0650000000000004</v>
      </c>
      <c r="T153">
        <v>4.8419999999999996</v>
      </c>
      <c r="U153">
        <v>3.8940000000000001</v>
      </c>
      <c r="V153">
        <v>6.67</v>
      </c>
      <c r="W153">
        <v>5.5389999999999997</v>
      </c>
      <c r="X153">
        <v>5.8730000000000002</v>
      </c>
      <c r="Y153">
        <v>3.492</v>
      </c>
      <c r="Z153">
        <v>5.0579999999999998</v>
      </c>
      <c r="AA153">
        <v>7.2110000000000003</v>
      </c>
      <c r="AB153">
        <v>7.3780000000000001</v>
      </c>
      <c r="AC153">
        <v>7.5789999999999997</v>
      </c>
      <c r="AD153">
        <v>7.6020000000000003</v>
      </c>
      <c r="AE153">
        <v>7.4909999999999997</v>
      </c>
      <c r="AF153">
        <v>11.664</v>
      </c>
      <c r="AG153">
        <v>12.381</v>
      </c>
      <c r="AH153">
        <v>13.765000000000001</v>
      </c>
      <c r="AI153">
        <v>14.009</v>
      </c>
      <c r="AJ153">
        <v>12.952999999999999</v>
      </c>
      <c r="AK153">
        <v>8.4019999999999992</v>
      </c>
      <c r="AL153">
        <v>8.6549999999999994</v>
      </c>
      <c r="AM153">
        <v>14.154999999999999</v>
      </c>
      <c r="AN153">
        <v>15.946</v>
      </c>
      <c r="AO153">
        <v>3.8940000000000001</v>
      </c>
      <c r="AP153">
        <v>6.67</v>
      </c>
    </row>
    <row r="154" spans="1:42" x14ac:dyDescent="0.2">
      <c r="A154" t="s">
        <v>313</v>
      </c>
      <c r="B154">
        <v>2.4359999999999999</v>
      </c>
      <c r="C154">
        <v>4.8460000000000001</v>
      </c>
      <c r="D154">
        <v>3.6429999999999998</v>
      </c>
      <c r="E154">
        <v>3.5659999999999998</v>
      </c>
      <c r="F154">
        <v>3.907</v>
      </c>
      <c r="G154">
        <v>4.8029999999999999</v>
      </c>
      <c r="H154">
        <v>0.504</v>
      </c>
      <c r="I154">
        <v>1.0089999999999999</v>
      </c>
      <c r="J154">
        <v>2.9009999999999998</v>
      </c>
      <c r="K154">
        <v>2.94</v>
      </c>
      <c r="L154">
        <v>3.012</v>
      </c>
      <c r="M154">
        <v>3.0270000000000001</v>
      </c>
      <c r="N154">
        <v>5.8049999999999997</v>
      </c>
      <c r="O154">
        <v>5.9649999999999999</v>
      </c>
      <c r="P154">
        <v>6.3879999999999999</v>
      </c>
      <c r="Q154">
        <v>6.4980000000000002</v>
      </c>
      <c r="R154">
        <v>1.448</v>
      </c>
      <c r="S154">
        <v>7.08</v>
      </c>
      <c r="T154">
        <v>4.8490000000000002</v>
      </c>
      <c r="U154">
        <v>3.895</v>
      </c>
      <c r="V154">
        <v>6.6820000000000004</v>
      </c>
      <c r="W154">
        <v>5.5460000000000003</v>
      </c>
      <c r="X154">
        <v>5.8860000000000001</v>
      </c>
      <c r="Y154">
        <v>3.5049999999999999</v>
      </c>
      <c r="Z154">
        <v>5.1139999999999999</v>
      </c>
      <c r="AA154">
        <v>7.226</v>
      </c>
      <c r="AB154">
        <v>7.3879999999999999</v>
      </c>
      <c r="AC154">
        <v>7.5819999999999999</v>
      </c>
      <c r="AD154">
        <v>7.6050000000000004</v>
      </c>
      <c r="AE154">
        <v>7.4969999999999999</v>
      </c>
      <c r="AF154">
        <v>11.733000000000001</v>
      </c>
      <c r="AG154">
        <v>12.443</v>
      </c>
      <c r="AH154">
        <v>13.8</v>
      </c>
      <c r="AI154">
        <v>14.038</v>
      </c>
      <c r="AJ154">
        <v>13.007</v>
      </c>
      <c r="AK154">
        <v>8.4130000000000003</v>
      </c>
      <c r="AL154">
        <v>8.6590000000000007</v>
      </c>
      <c r="AM154">
        <v>14.231999999999999</v>
      </c>
      <c r="AN154">
        <v>15.987</v>
      </c>
      <c r="AO154">
        <v>3.895</v>
      </c>
      <c r="AP154">
        <v>6.6820000000000004</v>
      </c>
    </row>
    <row r="155" spans="1:42" x14ac:dyDescent="0.2">
      <c r="A155" t="s">
        <v>314</v>
      </c>
      <c r="B155">
        <v>2.4390000000000001</v>
      </c>
      <c r="C155">
        <v>4.867</v>
      </c>
      <c r="D155">
        <v>3.6480000000000001</v>
      </c>
      <c r="E155">
        <v>3.57</v>
      </c>
      <c r="F155">
        <v>3.92</v>
      </c>
      <c r="G155">
        <v>4.8170000000000002</v>
      </c>
      <c r="H155">
        <v>0.50700000000000001</v>
      </c>
      <c r="I155">
        <v>1.024</v>
      </c>
      <c r="J155">
        <v>2.907</v>
      </c>
      <c r="K155">
        <v>2.9449999999999998</v>
      </c>
      <c r="L155">
        <v>3.0169999999999999</v>
      </c>
      <c r="M155">
        <v>3.0310000000000001</v>
      </c>
      <c r="N155">
        <v>5.84</v>
      </c>
      <c r="O155">
        <v>5.9989999999999997</v>
      </c>
      <c r="P155">
        <v>6.4180000000000001</v>
      </c>
      <c r="Q155">
        <v>6.5270000000000001</v>
      </c>
      <c r="R155">
        <v>1.452</v>
      </c>
      <c r="S155">
        <v>7.0949999999999998</v>
      </c>
      <c r="T155">
        <v>4.8559999999999999</v>
      </c>
      <c r="U155">
        <v>3.8959999999999999</v>
      </c>
      <c r="V155">
        <v>6.694</v>
      </c>
      <c r="W155">
        <v>5.5529999999999999</v>
      </c>
      <c r="X155">
        <v>5.899</v>
      </c>
      <c r="Y155">
        <v>3.5190000000000001</v>
      </c>
      <c r="Z155">
        <v>5.1689999999999996</v>
      </c>
      <c r="AA155">
        <v>7.24</v>
      </c>
      <c r="AB155">
        <v>7.3970000000000002</v>
      </c>
      <c r="AC155">
        <v>7.585</v>
      </c>
      <c r="AD155">
        <v>7.6070000000000002</v>
      </c>
      <c r="AE155">
        <v>7.5030000000000001</v>
      </c>
      <c r="AF155">
        <v>11.802</v>
      </c>
      <c r="AG155">
        <v>12.503</v>
      </c>
      <c r="AH155">
        <v>13.834</v>
      </c>
      <c r="AI155">
        <v>14.066000000000001</v>
      </c>
      <c r="AJ155">
        <v>13.06</v>
      </c>
      <c r="AK155">
        <v>8.4250000000000007</v>
      </c>
      <c r="AL155">
        <v>8.6620000000000008</v>
      </c>
      <c r="AM155">
        <v>14.307</v>
      </c>
      <c r="AN155">
        <v>16.027999999999999</v>
      </c>
      <c r="AO155">
        <v>3.8959999999999999</v>
      </c>
      <c r="AP155">
        <v>6.694</v>
      </c>
    </row>
    <row r="156" spans="1:42" x14ac:dyDescent="0.2">
      <c r="A156" t="s">
        <v>315</v>
      </c>
      <c r="B156">
        <v>2.4420000000000002</v>
      </c>
      <c r="C156">
        <v>4.8869999999999996</v>
      </c>
      <c r="D156">
        <v>3.6520000000000001</v>
      </c>
      <c r="E156">
        <v>3.5750000000000002</v>
      </c>
      <c r="F156">
        <v>3.9329999999999998</v>
      </c>
      <c r="G156">
        <v>4.8310000000000004</v>
      </c>
      <c r="H156">
        <v>0.51100000000000001</v>
      </c>
      <c r="I156">
        <v>1.0389999999999999</v>
      </c>
      <c r="J156">
        <v>2.9129999999999998</v>
      </c>
      <c r="K156">
        <v>2.9510000000000001</v>
      </c>
      <c r="L156">
        <v>3.0209999999999999</v>
      </c>
      <c r="M156">
        <v>3.0350000000000001</v>
      </c>
      <c r="N156">
        <v>5.8739999999999997</v>
      </c>
      <c r="O156">
        <v>6.0330000000000004</v>
      </c>
      <c r="P156">
        <v>6.4480000000000004</v>
      </c>
      <c r="Q156">
        <v>6.556</v>
      </c>
      <c r="R156">
        <v>1.456</v>
      </c>
      <c r="S156">
        <v>7.109</v>
      </c>
      <c r="T156">
        <v>4.8630000000000004</v>
      </c>
      <c r="U156">
        <v>3.8969999999999998</v>
      </c>
      <c r="V156">
        <v>6.7050000000000001</v>
      </c>
      <c r="W156">
        <v>5.56</v>
      </c>
      <c r="X156">
        <v>5.9109999999999996</v>
      </c>
      <c r="Y156">
        <v>3.532</v>
      </c>
      <c r="Z156">
        <v>5.2229999999999999</v>
      </c>
      <c r="AA156">
        <v>7.2539999999999996</v>
      </c>
      <c r="AB156">
        <v>7.4059999999999997</v>
      </c>
      <c r="AC156">
        <v>7.5880000000000001</v>
      </c>
      <c r="AD156">
        <v>7.609</v>
      </c>
      <c r="AE156">
        <v>7.5090000000000003</v>
      </c>
      <c r="AF156">
        <v>11.87</v>
      </c>
      <c r="AG156">
        <v>12.561999999999999</v>
      </c>
      <c r="AH156">
        <v>13.867000000000001</v>
      </c>
      <c r="AI156">
        <v>14.093999999999999</v>
      </c>
      <c r="AJ156">
        <v>13.111000000000001</v>
      </c>
      <c r="AK156">
        <v>8.4359999999999999</v>
      </c>
      <c r="AL156">
        <v>8.6660000000000004</v>
      </c>
      <c r="AM156">
        <v>14.38</v>
      </c>
      <c r="AN156">
        <v>16.068000000000001</v>
      </c>
      <c r="AO156">
        <v>3.8969999999999998</v>
      </c>
      <c r="AP156">
        <v>6.7050000000000001</v>
      </c>
    </row>
    <row r="157" spans="1:42" x14ac:dyDescent="0.2">
      <c r="A157" t="s">
        <v>316</v>
      </c>
      <c r="B157">
        <v>2.4449999999999998</v>
      </c>
      <c r="C157">
        <v>4.907</v>
      </c>
      <c r="D157">
        <v>3.657</v>
      </c>
      <c r="E157">
        <v>3.5790000000000002</v>
      </c>
      <c r="F157">
        <v>3.9460000000000002</v>
      </c>
      <c r="G157">
        <v>4.8449999999999998</v>
      </c>
      <c r="H157">
        <v>0.51400000000000001</v>
      </c>
      <c r="I157">
        <v>1.0549999999999999</v>
      </c>
      <c r="J157">
        <v>2.919</v>
      </c>
      <c r="K157">
        <v>2.956</v>
      </c>
      <c r="L157">
        <v>3.0249999999999999</v>
      </c>
      <c r="M157">
        <v>3.0390000000000001</v>
      </c>
      <c r="N157">
        <v>5.9080000000000004</v>
      </c>
      <c r="O157">
        <v>6.0659999999999998</v>
      </c>
      <c r="P157">
        <v>6.4779999999999998</v>
      </c>
      <c r="Q157">
        <v>6.5830000000000002</v>
      </c>
      <c r="R157">
        <v>1.4610000000000001</v>
      </c>
      <c r="S157">
        <v>7.1230000000000002</v>
      </c>
      <c r="T157">
        <v>4.8689999999999998</v>
      </c>
      <c r="U157">
        <v>3.8980000000000001</v>
      </c>
      <c r="V157">
        <v>6.7160000000000002</v>
      </c>
      <c r="W157">
        <v>5.5659999999999998</v>
      </c>
      <c r="X157">
        <v>5.923</v>
      </c>
      <c r="Y157">
        <v>3.544</v>
      </c>
      <c r="Z157">
        <v>5.2770000000000001</v>
      </c>
      <c r="AA157">
        <v>7.2670000000000003</v>
      </c>
      <c r="AB157">
        <v>7.415</v>
      </c>
      <c r="AC157">
        <v>7.5910000000000002</v>
      </c>
      <c r="AD157">
        <v>7.6120000000000001</v>
      </c>
      <c r="AE157">
        <v>7.5140000000000002</v>
      </c>
      <c r="AF157">
        <v>11.936999999999999</v>
      </c>
      <c r="AG157">
        <v>12.621</v>
      </c>
      <c r="AH157">
        <v>13.898999999999999</v>
      </c>
      <c r="AI157">
        <v>14.121</v>
      </c>
      <c r="AJ157">
        <v>13.162000000000001</v>
      </c>
      <c r="AK157">
        <v>8.4469999999999992</v>
      </c>
      <c r="AL157">
        <v>8.6690000000000005</v>
      </c>
      <c r="AM157">
        <v>14.452999999999999</v>
      </c>
      <c r="AN157">
        <v>16.106999999999999</v>
      </c>
      <c r="AO157">
        <v>3.8980000000000001</v>
      </c>
      <c r="AP157">
        <v>6.7160000000000002</v>
      </c>
    </row>
    <row r="158" spans="1:42" x14ac:dyDescent="0.2">
      <c r="A158" t="s">
        <v>317</v>
      </c>
      <c r="B158">
        <v>2.448</v>
      </c>
      <c r="C158">
        <v>4.9269999999999996</v>
      </c>
      <c r="D158">
        <v>3.661</v>
      </c>
      <c r="E158">
        <v>3.5830000000000002</v>
      </c>
      <c r="F158">
        <v>3.9580000000000002</v>
      </c>
      <c r="G158">
        <v>4.8579999999999997</v>
      </c>
      <c r="H158">
        <v>0.51800000000000002</v>
      </c>
      <c r="I158">
        <v>1.07</v>
      </c>
      <c r="J158">
        <v>2.9249999999999998</v>
      </c>
      <c r="K158">
        <v>2.9620000000000002</v>
      </c>
      <c r="L158">
        <v>3.0289999999999999</v>
      </c>
      <c r="M158">
        <v>3.0430000000000001</v>
      </c>
      <c r="N158">
        <v>5.9409999999999998</v>
      </c>
      <c r="O158">
        <v>6.0990000000000002</v>
      </c>
      <c r="P158">
        <v>6.5069999999999997</v>
      </c>
      <c r="Q158">
        <v>6.6109999999999998</v>
      </c>
      <c r="R158">
        <v>1.4650000000000001</v>
      </c>
      <c r="S158">
        <v>7.1369999999999996</v>
      </c>
      <c r="T158">
        <v>4.8760000000000003</v>
      </c>
      <c r="U158">
        <v>3.899</v>
      </c>
      <c r="V158">
        <v>6.7270000000000003</v>
      </c>
      <c r="W158">
        <v>5.5730000000000004</v>
      </c>
      <c r="X158">
        <v>5.9349999999999996</v>
      </c>
      <c r="Y158">
        <v>3.556</v>
      </c>
      <c r="Z158">
        <v>5.33</v>
      </c>
      <c r="AA158">
        <v>7.28</v>
      </c>
      <c r="AB158">
        <v>7.423</v>
      </c>
      <c r="AC158">
        <v>7.5940000000000003</v>
      </c>
      <c r="AD158">
        <v>7.6139999999999999</v>
      </c>
      <c r="AE158">
        <v>7.52</v>
      </c>
      <c r="AF158">
        <v>12.003</v>
      </c>
      <c r="AG158">
        <v>12.678000000000001</v>
      </c>
      <c r="AH158">
        <v>13.930999999999999</v>
      </c>
      <c r="AI158">
        <v>14.147</v>
      </c>
      <c r="AJ158">
        <v>13.211</v>
      </c>
      <c r="AK158">
        <v>8.4570000000000007</v>
      </c>
      <c r="AL158">
        <v>8.673</v>
      </c>
      <c r="AM158">
        <v>14.523</v>
      </c>
      <c r="AN158">
        <v>16.145</v>
      </c>
      <c r="AO158">
        <v>3.899</v>
      </c>
      <c r="AP158">
        <v>6.7270000000000003</v>
      </c>
    </row>
    <row r="159" spans="1:42" x14ac:dyDescent="0.2">
      <c r="A159" t="s">
        <v>318</v>
      </c>
      <c r="B159">
        <v>2.4510000000000001</v>
      </c>
      <c r="C159">
        <v>4.9470000000000001</v>
      </c>
      <c r="D159">
        <v>3.665</v>
      </c>
      <c r="E159">
        <v>3.5870000000000002</v>
      </c>
      <c r="F159">
        <v>3.97</v>
      </c>
      <c r="G159">
        <v>4.8710000000000004</v>
      </c>
      <c r="H159">
        <v>0.52100000000000002</v>
      </c>
      <c r="I159">
        <v>1.085</v>
      </c>
      <c r="J159">
        <v>2.931</v>
      </c>
      <c r="K159">
        <v>2.9670000000000001</v>
      </c>
      <c r="L159">
        <v>3.0329999999999999</v>
      </c>
      <c r="M159">
        <v>3.0459999999999998</v>
      </c>
      <c r="N159">
        <v>5.9740000000000002</v>
      </c>
      <c r="O159">
        <v>6.1319999999999997</v>
      </c>
      <c r="P159">
        <v>6.5350000000000001</v>
      </c>
      <c r="Q159">
        <v>6.6379999999999999</v>
      </c>
      <c r="R159">
        <v>1.4690000000000001</v>
      </c>
      <c r="S159">
        <v>7.1509999999999998</v>
      </c>
      <c r="T159">
        <v>4.8819999999999997</v>
      </c>
      <c r="U159">
        <v>3.9</v>
      </c>
      <c r="V159">
        <v>6.7370000000000001</v>
      </c>
      <c r="W159">
        <v>5.5789999999999997</v>
      </c>
      <c r="X159">
        <v>5.9470000000000001</v>
      </c>
      <c r="Y159">
        <v>3.5680000000000001</v>
      </c>
      <c r="Z159">
        <v>5.3819999999999997</v>
      </c>
      <c r="AA159">
        <v>7.2930000000000001</v>
      </c>
      <c r="AB159">
        <v>7.4320000000000004</v>
      </c>
      <c r="AC159">
        <v>7.5970000000000004</v>
      </c>
      <c r="AD159">
        <v>7.6159999999999997</v>
      </c>
      <c r="AE159">
        <v>7.5250000000000004</v>
      </c>
      <c r="AF159">
        <v>12.068</v>
      </c>
      <c r="AG159">
        <v>12.734</v>
      </c>
      <c r="AH159">
        <v>13.962</v>
      </c>
      <c r="AI159">
        <v>14.173</v>
      </c>
      <c r="AJ159">
        <v>13.259</v>
      </c>
      <c r="AK159">
        <v>8.4670000000000005</v>
      </c>
      <c r="AL159">
        <v>8.6760000000000002</v>
      </c>
      <c r="AM159">
        <v>14.593</v>
      </c>
      <c r="AN159">
        <v>16.181999999999999</v>
      </c>
      <c r="AO159">
        <v>3.9</v>
      </c>
      <c r="AP159">
        <v>6.7370000000000001</v>
      </c>
    </row>
    <row r="160" spans="1:42" x14ac:dyDescent="0.2">
      <c r="A160" t="s">
        <v>319</v>
      </c>
      <c r="B160">
        <v>2.4540000000000002</v>
      </c>
      <c r="C160">
        <v>4.9660000000000002</v>
      </c>
      <c r="D160">
        <v>3.669</v>
      </c>
      <c r="E160">
        <v>3.5910000000000002</v>
      </c>
      <c r="F160">
        <v>3.9830000000000001</v>
      </c>
      <c r="G160">
        <v>4.8840000000000003</v>
      </c>
      <c r="H160">
        <v>0.52500000000000002</v>
      </c>
      <c r="I160">
        <v>1.1000000000000001</v>
      </c>
      <c r="J160">
        <v>2.9369999999999998</v>
      </c>
      <c r="K160">
        <v>2.972</v>
      </c>
      <c r="L160">
        <v>3.0369999999999999</v>
      </c>
      <c r="M160">
        <v>3.05</v>
      </c>
      <c r="N160">
        <v>6.0069999999999997</v>
      </c>
      <c r="O160">
        <v>6.1639999999999997</v>
      </c>
      <c r="P160">
        <v>6.5629999999999997</v>
      </c>
      <c r="Q160">
        <v>6.665</v>
      </c>
      <c r="R160">
        <v>1.4730000000000001</v>
      </c>
      <c r="S160">
        <v>7.1639999999999997</v>
      </c>
      <c r="T160">
        <v>4.8879999999999999</v>
      </c>
      <c r="U160">
        <v>3.9009999999999998</v>
      </c>
      <c r="V160">
        <v>6.7469999999999999</v>
      </c>
      <c r="W160">
        <v>5.585</v>
      </c>
      <c r="X160">
        <v>5.9580000000000002</v>
      </c>
      <c r="Y160">
        <v>3.5790000000000002</v>
      </c>
      <c r="Z160">
        <v>5.4340000000000002</v>
      </c>
      <c r="AA160">
        <v>7.3049999999999997</v>
      </c>
      <c r="AB160">
        <v>7.4390000000000001</v>
      </c>
      <c r="AC160">
        <v>7.5990000000000002</v>
      </c>
      <c r="AD160">
        <v>7.6180000000000003</v>
      </c>
      <c r="AE160">
        <v>7.53</v>
      </c>
      <c r="AF160">
        <v>12.132</v>
      </c>
      <c r="AG160">
        <v>12.789</v>
      </c>
      <c r="AH160">
        <v>13.992000000000001</v>
      </c>
      <c r="AI160">
        <v>14.198</v>
      </c>
      <c r="AJ160">
        <v>13.305999999999999</v>
      </c>
      <c r="AK160">
        <v>8.4770000000000003</v>
      </c>
      <c r="AL160">
        <v>8.6790000000000003</v>
      </c>
      <c r="AM160">
        <v>14.661</v>
      </c>
      <c r="AN160">
        <v>16.218</v>
      </c>
      <c r="AO160">
        <v>3.9009999999999998</v>
      </c>
      <c r="AP160">
        <v>6.7469999999999999</v>
      </c>
    </row>
    <row r="161" spans="1:42" x14ac:dyDescent="0.2">
      <c r="A161" t="s">
        <v>320</v>
      </c>
      <c r="B161">
        <v>2.456</v>
      </c>
      <c r="C161">
        <v>4.9850000000000003</v>
      </c>
      <c r="D161">
        <v>3.673</v>
      </c>
      <c r="E161">
        <v>3.5950000000000002</v>
      </c>
      <c r="F161">
        <v>3.9950000000000001</v>
      </c>
      <c r="G161">
        <v>4.8959999999999999</v>
      </c>
      <c r="H161">
        <v>0.52800000000000002</v>
      </c>
      <c r="I161">
        <v>1.115</v>
      </c>
      <c r="J161">
        <v>2.9420000000000002</v>
      </c>
      <c r="K161">
        <v>2.9769999999999999</v>
      </c>
      <c r="L161">
        <v>3.04</v>
      </c>
      <c r="M161">
        <v>3.0539999999999998</v>
      </c>
      <c r="N161">
        <v>6.04</v>
      </c>
      <c r="O161">
        <v>6.1959999999999997</v>
      </c>
      <c r="P161">
        <v>6.5910000000000002</v>
      </c>
      <c r="Q161">
        <v>6.6909999999999998</v>
      </c>
      <c r="R161">
        <v>1.478</v>
      </c>
      <c r="S161">
        <v>7.1769999999999996</v>
      </c>
      <c r="T161">
        <v>4.8940000000000001</v>
      </c>
      <c r="U161">
        <v>3.9020000000000001</v>
      </c>
      <c r="V161">
        <v>6.7569999999999997</v>
      </c>
      <c r="W161">
        <v>5.5910000000000002</v>
      </c>
      <c r="X161">
        <v>5.9690000000000003</v>
      </c>
      <c r="Y161">
        <v>3.59</v>
      </c>
      <c r="Z161">
        <v>5.4850000000000003</v>
      </c>
      <c r="AA161">
        <v>7.3170000000000002</v>
      </c>
      <c r="AB161">
        <v>7.4470000000000001</v>
      </c>
      <c r="AC161">
        <v>7.6020000000000003</v>
      </c>
      <c r="AD161">
        <v>7.62</v>
      </c>
      <c r="AE161">
        <v>7.5339999999999998</v>
      </c>
      <c r="AF161">
        <v>12.195</v>
      </c>
      <c r="AG161">
        <v>12.843</v>
      </c>
      <c r="AH161">
        <v>14.021000000000001</v>
      </c>
      <c r="AI161">
        <v>14.222</v>
      </c>
      <c r="AJ161">
        <v>13.352</v>
      </c>
      <c r="AK161">
        <v>8.4860000000000007</v>
      </c>
      <c r="AL161">
        <v>8.6820000000000004</v>
      </c>
      <c r="AM161">
        <v>14.728</v>
      </c>
      <c r="AN161">
        <v>16.253</v>
      </c>
      <c r="AO161">
        <v>3.9020000000000001</v>
      </c>
      <c r="AP161">
        <v>6.7569999999999997</v>
      </c>
    </row>
    <row r="162" spans="1:42" x14ac:dyDescent="0.2">
      <c r="A162" t="s">
        <v>321</v>
      </c>
      <c r="B162">
        <v>2.4590000000000001</v>
      </c>
      <c r="C162">
        <v>5.0030000000000001</v>
      </c>
      <c r="D162">
        <v>3.677</v>
      </c>
      <c r="E162">
        <v>3.5990000000000002</v>
      </c>
      <c r="F162">
        <v>4.0060000000000002</v>
      </c>
      <c r="G162">
        <v>4.9089999999999998</v>
      </c>
      <c r="H162">
        <v>0.53100000000000003</v>
      </c>
      <c r="I162">
        <v>1.1299999999999999</v>
      </c>
      <c r="J162">
        <v>2.948</v>
      </c>
      <c r="K162">
        <v>2.9820000000000002</v>
      </c>
      <c r="L162">
        <v>3.044</v>
      </c>
      <c r="M162">
        <v>3.0569999999999999</v>
      </c>
      <c r="N162">
        <v>6.0720000000000001</v>
      </c>
      <c r="O162">
        <v>6.2270000000000003</v>
      </c>
      <c r="P162">
        <v>6.6180000000000003</v>
      </c>
      <c r="Q162">
        <v>6.7169999999999996</v>
      </c>
      <c r="R162">
        <v>1.482</v>
      </c>
      <c r="S162">
        <v>7.19</v>
      </c>
      <c r="T162">
        <v>4.9000000000000004</v>
      </c>
      <c r="U162">
        <v>3.903</v>
      </c>
      <c r="V162">
        <v>6.7670000000000003</v>
      </c>
      <c r="W162">
        <v>5.5960000000000001</v>
      </c>
      <c r="X162">
        <v>5.98</v>
      </c>
      <c r="Y162">
        <v>3.601</v>
      </c>
      <c r="Z162">
        <v>5.5350000000000001</v>
      </c>
      <c r="AA162">
        <v>7.3280000000000003</v>
      </c>
      <c r="AB162">
        <v>7.4550000000000001</v>
      </c>
      <c r="AC162">
        <v>7.6040000000000001</v>
      </c>
      <c r="AD162">
        <v>7.6219999999999999</v>
      </c>
      <c r="AE162">
        <v>7.5389999999999997</v>
      </c>
      <c r="AF162">
        <v>12.257</v>
      </c>
      <c r="AG162">
        <v>12.896000000000001</v>
      </c>
      <c r="AH162">
        <v>14.05</v>
      </c>
      <c r="AI162">
        <v>14.246</v>
      </c>
      <c r="AJ162">
        <v>13.397</v>
      </c>
      <c r="AK162">
        <v>8.4960000000000004</v>
      </c>
      <c r="AL162">
        <v>8.6850000000000005</v>
      </c>
      <c r="AM162">
        <v>14.794</v>
      </c>
      <c r="AN162">
        <v>16.286999999999999</v>
      </c>
      <c r="AO162">
        <v>3.903</v>
      </c>
      <c r="AP162">
        <v>6.7670000000000003</v>
      </c>
    </row>
    <row r="163" spans="1:42" x14ac:dyDescent="0.2">
      <c r="A163" t="s">
        <v>322</v>
      </c>
      <c r="B163">
        <v>2.4620000000000002</v>
      </c>
      <c r="C163">
        <v>5.0220000000000002</v>
      </c>
      <c r="D163">
        <v>3.681</v>
      </c>
      <c r="E163">
        <v>3.6030000000000002</v>
      </c>
      <c r="F163">
        <v>4.0179999999999998</v>
      </c>
      <c r="G163">
        <v>4.9210000000000003</v>
      </c>
      <c r="H163">
        <v>0.53400000000000003</v>
      </c>
      <c r="I163">
        <v>1.145</v>
      </c>
      <c r="J163">
        <v>2.9529999999999998</v>
      </c>
      <c r="K163">
        <v>2.9860000000000002</v>
      </c>
      <c r="L163">
        <v>3.048</v>
      </c>
      <c r="M163">
        <v>3.06</v>
      </c>
      <c r="N163">
        <v>6.1029999999999998</v>
      </c>
      <c r="O163">
        <v>6.258</v>
      </c>
      <c r="P163">
        <v>6.6449999999999996</v>
      </c>
      <c r="Q163">
        <v>6.7430000000000003</v>
      </c>
      <c r="R163">
        <v>1.486</v>
      </c>
      <c r="S163">
        <v>7.202</v>
      </c>
      <c r="T163">
        <v>4.9059999999999997</v>
      </c>
      <c r="U163">
        <v>3.9039999999999999</v>
      </c>
      <c r="V163">
        <v>6.7759999999999998</v>
      </c>
      <c r="W163">
        <v>5.6020000000000003</v>
      </c>
      <c r="X163">
        <v>5.9909999999999997</v>
      </c>
      <c r="Y163">
        <v>3.6120000000000001</v>
      </c>
      <c r="Z163">
        <v>5.5839999999999996</v>
      </c>
      <c r="AA163">
        <v>7.3390000000000004</v>
      </c>
      <c r="AB163">
        <v>7.4619999999999997</v>
      </c>
      <c r="AC163">
        <v>7.6070000000000002</v>
      </c>
      <c r="AD163">
        <v>7.6239999999999997</v>
      </c>
      <c r="AE163">
        <v>7.5439999999999996</v>
      </c>
      <c r="AF163">
        <v>12.318</v>
      </c>
      <c r="AG163">
        <v>12.946999999999999</v>
      </c>
      <c r="AH163">
        <v>14.077999999999999</v>
      </c>
      <c r="AI163">
        <v>14.269</v>
      </c>
      <c r="AJ163">
        <v>13.441000000000001</v>
      </c>
      <c r="AK163">
        <v>8.5039999999999996</v>
      </c>
      <c r="AL163">
        <v>8.6880000000000006</v>
      </c>
      <c r="AM163">
        <v>14.858000000000001</v>
      </c>
      <c r="AN163">
        <v>16.321000000000002</v>
      </c>
      <c r="AO163">
        <v>3.9039999999999999</v>
      </c>
      <c r="AP163">
        <v>6.7759999999999998</v>
      </c>
    </row>
    <row r="164" spans="1:42" x14ac:dyDescent="0.2">
      <c r="A164" t="s">
        <v>323</v>
      </c>
      <c r="B164">
        <v>2.464</v>
      </c>
      <c r="C164">
        <v>5.04</v>
      </c>
      <c r="D164">
        <v>3.6850000000000001</v>
      </c>
      <c r="E164">
        <v>3.6070000000000002</v>
      </c>
      <c r="F164">
        <v>4.0289999999999999</v>
      </c>
      <c r="G164">
        <v>4.9329999999999998</v>
      </c>
      <c r="H164">
        <v>0.53700000000000003</v>
      </c>
      <c r="I164">
        <v>1.159</v>
      </c>
      <c r="J164">
        <v>2.9590000000000001</v>
      </c>
      <c r="K164">
        <v>2.9910000000000001</v>
      </c>
      <c r="L164">
        <v>3.0510000000000002</v>
      </c>
      <c r="M164">
        <v>3.0640000000000001</v>
      </c>
      <c r="N164">
        <v>6.1349999999999998</v>
      </c>
      <c r="O164">
        <v>6.2889999999999997</v>
      </c>
      <c r="P164">
        <v>6.6719999999999997</v>
      </c>
      <c r="Q164">
        <v>6.7679999999999998</v>
      </c>
      <c r="R164">
        <v>1.49</v>
      </c>
      <c r="S164">
        <v>7.2140000000000004</v>
      </c>
      <c r="T164">
        <v>4.9119999999999999</v>
      </c>
      <c r="U164">
        <v>3.9049999999999998</v>
      </c>
      <c r="V164">
        <v>6.7859999999999996</v>
      </c>
      <c r="W164">
        <v>5.6070000000000002</v>
      </c>
      <c r="X164">
        <v>6.0010000000000003</v>
      </c>
      <c r="Y164">
        <v>3.6219999999999999</v>
      </c>
      <c r="Z164">
        <v>5.633</v>
      </c>
      <c r="AA164">
        <v>7.35</v>
      </c>
      <c r="AB164">
        <v>7.4690000000000003</v>
      </c>
      <c r="AC164">
        <v>7.609</v>
      </c>
      <c r="AD164">
        <v>7.6260000000000003</v>
      </c>
      <c r="AE164">
        <v>7.548</v>
      </c>
      <c r="AF164">
        <v>12.378</v>
      </c>
      <c r="AG164">
        <v>12.997999999999999</v>
      </c>
      <c r="AH164">
        <v>14.105</v>
      </c>
      <c r="AI164">
        <v>14.292</v>
      </c>
      <c r="AJ164">
        <v>13.484</v>
      </c>
      <c r="AK164">
        <v>8.5129999999999999</v>
      </c>
      <c r="AL164">
        <v>8.6910000000000007</v>
      </c>
      <c r="AM164">
        <v>14.920999999999999</v>
      </c>
      <c r="AN164">
        <v>16.353999999999999</v>
      </c>
      <c r="AO164">
        <v>3.9049999999999998</v>
      </c>
      <c r="AP164">
        <v>6.7859999999999996</v>
      </c>
    </row>
    <row r="165" spans="1:42" x14ac:dyDescent="0.2">
      <c r="A165" t="s">
        <v>324</v>
      </c>
      <c r="B165">
        <v>2.4670000000000001</v>
      </c>
      <c r="C165">
        <v>5.0570000000000004</v>
      </c>
      <c r="D165">
        <v>3.6880000000000002</v>
      </c>
      <c r="E165">
        <v>3.61</v>
      </c>
      <c r="F165">
        <v>4.0410000000000004</v>
      </c>
      <c r="G165">
        <v>4.9450000000000003</v>
      </c>
      <c r="H165">
        <v>0.54100000000000004</v>
      </c>
      <c r="I165">
        <v>1.1739999999999999</v>
      </c>
      <c r="J165">
        <v>2.964</v>
      </c>
      <c r="K165">
        <v>2.996</v>
      </c>
      <c r="L165">
        <v>3.0550000000000002</v>
      </c>
      <c r="M165">
        <v>3.0670000000000002</v>
      </c>
      <c r="N165">
        <v>6.1660000000000004</v>
      </c>
      <c r="O165">
        <v>6.319</v>
      </c>
      <c r="P165">
        <v>6.6980000000000004</v>
      </c>
      <c r="Q165">
        <v>6.7919999999999998</v>
      </c>
      <c r="R165">
        <v>1.494</v>
      </c>
      <c r="S165">
        <v>7.226</v>
      </c>
      <c r="T165">
        <v>4.9169999999999998</v>
      </c>
      <c r="U165">
        <v>3.9049999999999998</v>
      </c>
      <c r="V165">
        <v>6.7949999999999999</v>
      </c>
      <c r="W165">
        <v>5.6130000000000004</v>
      </c>
      <c r="X165">
        <v>6.0110000000000001</v>
      </c>
      <c r="Y165">
        <v>3.6309999999999998</v>
      </c>
      <c r="Z165">
        <v>5.68</v>
      </c>
      <c r="AA165">
        <v>7.3609999999999998</v>
      </c>
      <c r="AB165">
        <v>7.4749999999999996</v>
      </c>
      <c r="AC165">
        <v>7.6109999999999998</v>
      </c>
      <c r="AD165">
        <v>7.6269999999999998</v>
      </c>
      <c r="AE165">
        <v>7.5519999999999996</v>
      </c>
      <c r="AF165">
        <v>12.436999999999999</v>
      </c>
      <c r="AG165">
        <v>13.048</v>
      </c>
      <c r="AH165">
        <v>14.132</v>
      </c>
      <c r="AI165">
        <v>14.314</v>
      </c>
      <c r="AJ165">
        <v>13.526</v>
      </c>
      <c r="AK165">
        <v>8.5210000000000008</v>
      </c>
      <c r="AL165">
        <v>8.6929999999999996</v>
      </c>
      <c r="AM165">
        <v>14.983000000000001</v>
      </c>
      <c r="AN165">
        <v>16.385000000000002</v>
      </c>
      <c r="AO165">
        <v>3.9049999999999998</v>
      </c>
      <c r="AP165">
        <v>6.7949999999999999</v>
      </c>
    </row>
    <row r="166" spans="1:42" x14ac:dyDescent="0.2">
      <c r="A166" t="s">
        <v>325</v>
      </c>
      <c r="B166">
        <v>2.4689999999999999</v>
      </c>
      <c r="C166">
        <v>5.0750000000000002</v>
      </c>
      <c r="D166">
        <v>3.6920000000000002</v>
      </c>
      <c r="E166">
        <v>3.6139999999999999</v>
      </c>
      <c r="F166">
        <v>4.0519999999999996</v>
      </c>
      <c r="G166">
        <v>4.9569999999999999</v>
      </c>
      <c r="H166">
        <v>0.54400000000000004</v>
      </c>
      <c r="I166">
        <v>1.1890000000000001</v>
      </c>
      <c r="J166">
        <v>2.9689999999999999</v>
      </c>
      <c r="K166">
        <v>3</v>
      </c>
      <c r="L166">
        <v>3.0579999999999998</v>
      </c>
      <c r="M166">
        <v>3.07</v>
      </c>
      <c r="N166">
        <v>6.1970000000000001</v>
      </c>
      <c r="O166">
        <v>6.3490000000000002</v>
      </c>
      <c r="P166">
        <v>6.7240000000000002</v>
      </c>
      <c r="Q166">
        <v>6.8170000000000002</v>
      </c>
      <c r="R166">
        <v>1.498</v>
      </c>
      <c r="S166">
        <v>7.2380000000000004</v>
      </c>
      <c r="T166">
        <v>4.923</v>
      </c>
      <c r="U166">
        <v>3.9060000000000001</v>
      </c>
      <c r="V166">
        <v>6.8029999999999999</v>
      </c>
      <c r="W166">
        <v>5.6180000000000003</v>
      </c>
      <c r="X166">
        <v>6.0209999999999999</v>
      </c>
      <c r="Y166">
        <v>3.641</v>
      </c>
      <c r="Z166">
        <v>5.7279999999999998</v>
      </c>
      <c r="AA166">
        <v>7.3710000000000004</v>
      </c>
      <c r="AB166">
        <v>7.4820000000000002</v>
      </c>
      <c r="AC166">
        <v>7.6139999999999999</v>
      </c>
      <c r="AD166">
        <v>7.6289999999999996</v>
      </c>
      <c r="AE166">
        <v>7.556</v>
      </c>
      <c r="AF166">
        <v>12.494999999999999</v>
      </c>
      <c r="AG166">
        <v>13.097</v>
      </c>
      <c r="AH166">
        <v>14.157999999999999</v>
      </c>
      <c r="AI166">
        <v>14.335000000000001</v>
      </c>
      <c r="AJ166">
        <v>13.566000000000001</v>
      </c>
      <c r="AK166">
        <v>8.5289999999999999</v>
      </c>
      <c r="AL166">
        <v>8.6959999999999997</v>
      </c>
      <c r="AM166">
        <v>15.044</v>
      </c>
      <c r="AN166">
        <v>16.417000000000002</v>
      </c>
      <c r="AO166">
        <v>3.9060000000000001</v>
      </c>
      <c r="AP166">
        <v>6.8029999999999999</v>
      </c>
    </row>
    <row r="167" spans="1:42" x14ac:dyDescent="0.2">
      <c r="A167" t="s">
        <v>326</v>
      </c>
      <c r="B167">
        <v>2.472</v>
      </c>
      <c r="C167">
        <v>5.0919999999999996</v>
      </c>
      <c r="D167">
        <v>3.6949999999999998</v>
      </c>
      <c r="E167">
        <v>3.617</v>
      </c>
      <c r="F167">
        <v>4.0620000000000003</v>
      </c>
      <c r="G167">
        <v>4.968</v>
      </c>
      <c r="H167">
        <v>0.54700000000000004</v>
      </c>
      <c r="I167">
        <v>1.2030000000000001</v>
      </c>
      <c r="J167">
        <v>2.9740000000000002</v>
      </c>
      <c r="K167">
        <v>3.0049999999999999</v>
      </c>
      <c r="L167">
        <v>3.0609999999999999</v>
      </c>
      <c r="M167">
        <v>3.073</v>
      </c>
      <c r="N167">
        <v>6.2270000000000003</v>
      </c>
      <c r="O167">
        <v>6.3780000000000001</v>
      </c>
      <c r="P167">
        <v>6.7489999999999997</v>
      </c>
      <c r="Q167">
        <v>6.8410000000000002</v>
      </c>
      <c r="R167">
        <v>1.502</v>
      </c>
      <c r="S167">
        <v>7.2489999999999997</v>
      </c>
      <c r="T167">
        <v>4.9279999999999999</v>
      </c>
      <c r="U167">
        <v>3.907</v>
      </c>
      <c r="V167">
        <v>6.8120000000000003</v>
      </c>
      <c r="W167">
        <v>5.6230000000000002</v>
      </c>
      <c r="X167">
        <v>6.0309999999999997</v>
      </c>
      <c r="Y167">
        <v>3.65</v>
      </c>
      <c r="Z167">
        <v>5.774</v>
      </c>
      <c r="AA167">
        <v>7.3810000000000002</v>
      </c>
      <c r="AB167">
        <v>7.4880000000000004</v>
      </c>
      <c r="AC167">
        <v>7.6159999999999997</v>
      </c>
      <c r="AD167">
        <v>7.6310000000000002</v>
      </c>
      <c r="AE167">
        <v>7.56</v>
      </c>
      <c r="AF167">
        <v>12.552</v>
      </c>
      <c r="AG167">
        <v>13.144</v>
      </c>
      <c r="AH167">
        <v>14.183</v>
      </c>
      <c r="AI167">
        <v>14.356</v>
      </c>
      <c r="AJ167">
        <v>13.606</v>
      </c>
      <c r="AK167">
        <v>8.5370000000000008</v>
      </c>
      <c r="AL167">
        <v>8.6980000000000004</v>
      </c>
      <c r="AM167">
        <v>15.103</v>
      </c>
      <c r="AN167">
        <v>16.446999999999999</v>
      </c>
      <c r="AO167">
        <v>3.907</v>
      </c>
      <c r="AP167">
        <v>6.8120000000000003</v>
      </c>
    </row>
    <row r="168" spans="1:42" x14ac:dyDescent="0.2">
      <c r="A168" t="s">
        <v>327</v>
      </c>
      <c r="B168">
        <v>2.4740000000000002</v>
      </c>
      <c r="C168">
        <v>5.109</v>
      </c>
      <c r="D168">
        <v>3.6989999999999998</v>
      </c>
      <c r="E168">
        <v>3.621</v>
      </c>
      <c r="F168">
        <v>4.0730000000000004</v>
      </c>
      <c r="G168">
        <v>4.9790000000000001</v>
      </c>
      <c r="H168">
        <v>0.55000000000000004</v>
      </c>
      <c r="I168">
        <v>1.2170000000000001</v>
      </c>
      <c r="J168">
        <v>2.9790000000000001</v>
      </c>
      <c r="K168">
        <v>3.0089999999999999</v>
      </c>
      <c r="L168">
        <v>3.0649999999999999</v>
      </c>
      <c r="M168">
        <v>3.0760000000000001</v>
      </c>
      <c r="N168">
        <v>6.2569999999999997</v>
      </c>
      <c r="O168">
        <v>6.407</v>
      </c>
      <c r="P168">
        <v>6.774</v>
      </c>
      <c r="Q168">
        <v>6.8639999999999999</v>
      </c>
      <c r="R168">
        <v>1.506</v>
      </c>
      <c r="S168">
        <v>7.26</v>
      </c>
      <c r="T168">
        <v>4.9329999999999998</v>
      </c>
      <c r="U168">
        <v>3.9079999999999999</v>
      </c>
      <c r="V168">
        <v>6.82</v>
      </c>
      <c r="W168">
        <v>5.6280000000000001</v>
      </c>
      <c r="X168">
        <v>6.04</v>
      </c>
      <c r="Y168">
        <v>3.6589999999999998</v>
      </c>
      <c r="Z168">
        <v>5.82</v>
      </c>
      <c r="AA168">
        <v>7.39</v>
      </c>
      <c r="AB168">
        <v>7.4939999999999998</v>
      </c>
      <c r="AC168">
        <v>7.6180000000000003</v>
      </c>
      <c r="AD168">
        <v>7.6319999999999997</v>
      </c>
      <c r="AE168">
        <v>7.5640000000000001</v>
      </c>
      <c r="AF168">
        <v>12.609</v>
      </c>
      <c r="AG168">
        <v>13.191000000000001</v>
      </c>
      <c r="AH168">
        <v>14.208</v>
      </c>
      <c r="AI168">
        <v>14.377000000000001</v>
      </c>
      <c r="AJ168">
        <v>13.645</v>
      </c>
      <c r="AK168">
        <v>8.5449999999999999</v>
      </c>
      <c r="AL168">
        <v>8.7010000000000005</v>
      </c>
      <c r="AM168">
        <v>15.161</v>
      </c>
      <c r="AN168">
        <v>16.477</v>
      </c>
      <c r="AO168">
        <v>3.9079999999999999</v>
      </c>
      <c r="AP168">
        <v>6.82</v>
      </c>
    </row>
    <row r="169" spans="1:42" x14ac:dyDescent="0.2">
      <c r="A169" t="s">
        <v>328</v>
      </c>
      <c r="B169">
        <v>2.4769999999999999</v>
      </c>
      <c r="C169">
        <v>5.1260000000000003</v>
      </c>
      <c r="D169">
        <v>3.702</v>
      </c>
      <c r="E169">
        <v>3.6240000000000001</v>
      </c>
      <c r="F169">
        <v>4.0839999999999996</v>
      </c>
      <c r="G169">
        <v>4.99</v>
      </c>
      <c r="H169">
        <v>0.55200000000000005</v>
      </c>
      <c r="I169">
        <v>1.232</v>
      </c>
      <c r="J169">
        <v>2.984</v>
      </c>
      <c r="K169">
        <v>3.0129999999999999</v>
      </c>
      <c r="L169">
        <v>3.0680000000000001</v>
      </c>
      <c r="M169">
        <v>3.0790000000000002</v>
      </c>
      <c r="N169">
        <v>6.2859999999999996</v>
      </c>
      <c r="O169">
        <v>6.4359999999999999</v>
      </c>
      <c r="P169">
        <v>6.798</v>
      </c>
      <c r="Q169">
        <v>6.8879999999999999</v>
      </c>
      <c r="R169">
        <v>1.51</v>
      </c>
      <c r="S169">
        <v>7.2709999999999999</v>
      </c>
      <c r="T169">
        <v>4.9379999999999997</v>
      </c>
      <c r="U169">
        <v>3.9079999999999999</v>
      </c>
      <c r="V169">
        <v>6.8280000000000003</v>
      </c>
      <c r="W169">
        <v>5.633</v>
      </c>
      <c r="X169">
        <v>6.0490000000000004</v>
      </c>
      <c r="Y169">
        <v>3.6669999999999998</v>
      </c>
      <c r="Z169">
        <v>5.8639999999999999</v>
      </c>
      <c r="AA169">
        <v>7.399</v>
      </c>
      <c r="AB169">
        <v>7.5</v>
      </c>
      <c r="AC169">
        <v>7.62</v>
      </c>
      <c r="AD169">
        <v>7.6340000000000003</v>
      </c>
      <c r="AE169">
        <v>7.5679999999999996</v>
      </c>
      <c r="AF169">
        <v>12.664</v>
      </c>
      <c r="AG169">
        <v>13.237</v>
      </c>
      <c r="AH169">
        <v>14.231999999999999</v>
      </c>
      <c r="AI169">
        <v>14.397</v>
      </c>
      <c r="AJ169">
        <v>13.683</v>
      </c>
      <c r="AK169">
        <v>8.5519999999999996</v>
      </c>
      <c r="AL169">
        <v>8.7029999999999994</v>
      </c>
      <c r="AM169">
        <v>15.218</v>
      </c>
      <c r="AN169">
        <v>16.504999999999999</v>
      </c>
      <c r="AO169">
        <v>3.9079999999999999</v>
      </c>
      <c r="AP169">
        <v>6.8280000000000003</v>
      </c>
    </row>
    <row r="170" spans="1:42" x14ac:dyDescent="0.2">
      <c r="A170" t="s">
        <v>329</v>
      </c>
      <c r="B170">
        <v>2.4790000000000001</v>
      </c>
      <c r="C170">
        <v>5.1420000000000003</v>
      </c>
      <c r="D170">
        <v>3.7050000000000001</v>
      </c>
      <c r="E170">
        <v>3.6269999999999998</v>
      </c>
      <c r="F170">
        <v>4.0940000000000003</v>
      </c>
      <c r="G170">
        <v>5.0010000000000003</v>
      </c>
      <c r="H170">
        <v>0.55500000000000005</v>
      </c>
      <c r="I170">
        <v>1.246</v>
      </c>
      <c r="J170">
        <v>2.988</v>
      </c>
      <c r="K170">
        <v>3.0169999999999999</v>
      </c>
      <c r="L170">
        <v>3.0710000000000002</v>
      </c>
      <c r="M170">
        <v>3.0819999999999999</v>
      </c>
      <c r="N170">
        <v>6.3159999999999998</v>
      </c>
      <c r="O170">
        <v>6.4640000000000004</v>
      </c>
      <c r="P170">
        <v>6.8230000000000004</v>
      </c>
      <c r="Q170">
        <v>6.91</v>
      </c>
      <c r="R170">
        <v>1.514</v>
      </c>
      <c r="S170">
        <v>7.282</v>
      </c>
      <c r="T170">
        <v>4.9429999999999996</v>
      </c>
      <c r="U170">
        <v>3.9089999999999998</v>
      </c>
      <c r="V170">
        <v>6.8360000000000003</v>
      </c>
      <c r="W170">
        <v>5.6369999999999996</v>
      </c>
      <c r="X170">
        <v>6.0579999999999998</v>
      </c>
      <c r="Y170">
        <v>3.6760000000000002</v>
      </c>
      <c r="Z170">
        <v>5.9089999999999998</v>
      </c>
      <c r="AA170">
        <v>7.4080000000000004</v>
      </c>
      <c r="AB170">
        <v>7.5060000000000002</v>
      </c>
      <c r="AC170">
        <v>7.6219999999999999</v>
      </c>
      <c r="AD170">
        <v>7.6349999999999998</v>
      </c>
      <c r="AE170">
        <v>7.5709999999999997</v>
      </c>
      <c r="AF170">
        <v>12.718</v>
      </c>
      <c r="AG170">
        <v>13.282</v>
      </c>
      <c r="AH170">
        <v>14.255000000000001</v>
      </c>
      <c r="AI170">
        <v>14.416</v>
      </c>
      <c r="AJ170">
        <v>13.72</v>
      </c>
      <c r="AK170">
        <v>8.5589999999999993</v>
      </c>
      <c r="AL170">
        <v>8.7050000000000001</v>
      </c>
      <c r="AM170">
        <v>15.273999999999999</v>
      </c>
      <c r="AN170">
        <v>16.533000000000001</v>
      </c>
      <c r="AO170">
        <v>3.9089999999999998</v>
      </c>
      <c r="AP170">
        <v>6.8360000000000003</v>
      </c>
    </row>
    <row r="171" spans="1:42" x14ac:dyDescent="0.2">
      <c r="A171" t="s">
        <v>330</v>
      </c>
      <c r="B171">
        <v>2.4809999999999999</v>
      </c>
      <c r="C171">
        <v>5.1580000000000004</v>
      </c>
      <c r="D171">
        <v>3.7090000000000001</v>
      </c>
      <c r="E171">
        <v>3.6309999999999998</v>
      </c>
      <c r="F171">
        <v>4.1040000000000001</v>
      </c>
      <c r="G171">
        <v>5.0119999999999996</v>
      </c>
      <c r="H171">
        <v>0.55800000000000005</v>
      </c>
      <c r="I171">
        <v>1.26</v>
      </c>
      <c r="J171">
        <v>2.9929999999999999</v>
      </c>
      <c r="K171">
        <v>3.0219999999999998</v>
      </c>
      <c r="L171">
        <v>3.0739999999999998</v>
      </c>
      <c r="M171">
        <v>3.085</v>
      </c>
      <c r="N171">
        <v>6.3449999999999998</v>
      </c>
      <c r="O171">
        <v>6.492</v>
      </c>
      <c r="P171">
        <v>6.8460000000000001</v>
      </c>
      <c r="Q171">
        <v>6.9329999999999998</v>
      </c>
      <c r="R171">
        <v>1.518</v>
      </c>
      <c r="S171">
        <v>7.2919999999999998</v>
      </c>
      <c r="T171">
        <v>4.9480000000000004</v>
      </c>
      <c r="U171">
        <v>3.91</v>
      </c>
      <c r="V171">
        <v>6.8440000000000003</v>
      </c>
      <c r="W171">
        <v>5.6420000000000003</v>
      </c>
      <c r="X171">
        <v>6.0670000000000002</v>
      </c>
      <c r="Y171">
        <v>3.6840000000000002</v>
      </c>
      <c r="Z171">
        <v>5.952</v>
      </c>
      <c r="AA171">
        <v>7.4169999999999998</v>
      </c>
      <c r="AB171">
        <v>7.5119999999999996</v>
      </c>
      <c r="AC171">
        <v>7.6230000000000002</v>
      </c>
      <c r="AD171">
        <v>7.6369999999999996</v>
      </c>
      <c r="AE171">
        <v>7.5750000000000002</v>
      </c>
      <c r="AF171">
        <v>12.771000000000001</v>
      </c>
      <c r="AG171">
        <v>13.326000000000001</v>
      </c>
      <c r="AH171">
        <v>14.278</v>
      </c>
      <c r="AI171">
        <v>14.435</v>
      </c>
      <c r="AJ171">
        <v>13.756</v>
      </c>
      <c r="AK171">
        <v>8.5660000000000007</v>
      </c>
      <c r="AL171">
        <v>8.7070000000000007</v>
      </c>
      <c r="AM171">
        <v>15.329000000000001</v>
      </c>
      <c r="AN171">
        <v>16.561</v>
      </c>
      <c r="AO171">
        <v>3.91</v>
      </c>
      <c r="AP171">
        <v>6.8440000000000003</v>
      </c>
    </row>
    <row r="172" spans="1:42" x14ac:dyDescent="0.2">
      <c r="A172" t="s">
        <v>331</v>
      </c>
      <c r="B172">
        <v>2.484</v>
      </c>
      <c r="C172">
        <v>5.1740000000000004</v>
      </c>
      <c r="D172">
        <v>3.7120000000000002</v>
      </c>
      <c r="E172">
        <v>3.6339999999999999</v>
      </c>
      <c r="F172">
        <v>4.1139999999999999</v>
      </c>
      <c r="G172">
        <v>5.0220000000000002</v>
      </c>
      <c r="H172">
        <v>0.56100000000000005</v>
      </c>
      <c r="I172">
        <v>1.274</v>
      </c>
      <c r="J172">
        <v>2.9969999999999999</v>
      </c>
      <c r="K172">
        <v>3.0259999999999998</v>
      </c>
      <c r="L172">
        <v>3.077</v>
      </c>
      <c r="M172">
        <v>3.0880000000000001</v>
      </c>
      <c r="N172">
        <v>6.3730000000000002</v>
      </c>
      <c r="O172">
        <v>6.52</v>
      </c>
      <c r="P172">
        <v>6.87</v>
      </c>
      <c r="Q172">
        <v>6.9550000000000001</v>
      </c>
      <c r="R172">
        <v>1.522</v>
      </c>
      <c r="S172">
        <v>7.3029999999999999</v>
      </c>
      <c r="T172">
        <v>4.9530000000000003</v>
      </c>
      <c r="U172">
        <v>3.91</v>
      </c>
      <c r="V172">
        <v>6.851</v>
      </c>
      <c r="W172">
        <v>5.6459999999999999</v>
      </c>
      <c r="X172">
        <v>6.0750000000000002</v>
      </c>
      <c r="Y172">
        <v>3.6909999999999998</v>
      </c>
      <c r="Z172">
        <v>5.9950000000000001</v>
      </c>
      <c r="AA172">
        <v>7.4249999999999998</v>
      </c>
      <c r="AB172">
        <v>7.5170000000000003</v>
      </c>
      <c r="AC172">
        <v>7.625</v>
      </c>
      <c r="AD172">
        <v>7.6379999999999999</v>
      </c>
      <c r="AE172">
        <v>7.5780000000000003</v>
      </c>
      <c r="AF172">
        <v>12.824</v>
      </c>
      <c r="AG172">
        <v>13.369</v>
      </c>
      <c r="AH172">
        <v>14.301</v>
      </c>
      <c r="AI172">
        <v>14.452999999999999</v>
      </c>
      <c r="AJ172">
        <v>13.791</v>
      </c>
      <c r="AK172">
        <v>8.5730000000000004</v>
      </c>
      <c r="AL172">
        <v>8.7100000000000009</v>
      </c>
      <c r="AM172">
        <v>15.382</v>
      </c>
      <c r="AN172">
        <v>16.588000000000001</v>
      </c>
      <c r="AO172">
        <v>3.91</v>
      </c>
      <c r="AP172">
        <v>6.851</v>
      </c>
    </row>
    <row r="173" spans="1:42" x14ac:dyDescent="0.2">
      <c r="A173" t="s">
        <v>332</v>
      </c>
      <c r="B173">
        <v>2.4860000000000002</v>
      </c>
      <c r="C173">
        <v>5.19</v>
      </c>
      <c r="D173">
        <v>3.7149999999999999</v>
      </c>
      <c r="E173">
        <v>3.637</v>
      </c>
      <c r="F173">
        <v>4.1239999999999997</v>
      </c>
      <c r="G173">
        <v>5.0330000000000004</v>
      </c>
      <c r="H173">
        <v>0.56399999999999995</v>
      </c>
      <c r="I173">
        <v>1.288</v>
      </c>
      <c r="J173">
        <v>3.0019999999999998</v>
      </c>
      <c r="K173">
        <v>3.0289999999999999</v>
      </c>
      <c r="L173">
        <v>3.08</v>
      </c>
      <c r="M173">
        <v>3.0910000000000002</v>
      </c>
      <c r="N173">
        <v>6.4009999999999998</v>
      </c>
      <c r="O173">
        <v>6.5469999999999997</v>
      </c>
      <c r="P173">
        <v>6.8929999999999998</v>
      </c>
      <c r="Q173">
        <v>6.9770000000000003</v>
      </c>
      <c r="R173">
        <v>1.526</v>
      </c>
      <c r="S173">
        <v>7.3129999999999997</v>
      </c>
      <c r="T173">
        <v>4.9569999999999999</v>
      </c>
      <c r="U173">
        <v>3.911</v>
      </c>
      <c r="V173">
        <v>6.859</v>
      </c>
      <c r="W173">
        <v>5.65</v>
      </c>
      <c r="X173">
        <v>6.0830000000000002</v>
      </c>
      <c r="Y173">
        <v>3.6989999999999998</v>
      </c>
      <c r="Z173">
        <v>6.0369999999999999</v>
      </c>
      <c r="AA173">
        <v>7.4329999999999998</v>
      </c>
      <c r="AB173">
        <v>7.5220000000000002</v>
      </c>
      <c r="AC173">
        <v>7.6269999999999998</v>
      </c>
      <c r="AD173">
        <v>7.6390000000000002</v>
      </c>
      <c r="AE173">
        <v>7.5810000000000004</v>
      </c>
      <c r="AF173">
        <v>12.875</v>
      </c>
      <c r="AG173">
        <v>13.411</v>
      </c>
      <c r="AH173">
        <v>14.321999999999999</v>
      </c>
      <c r="AI173">
        <v>14.471</v>
      </c>
      <c r="AJ173">
        <v>13.826000000000001</v>
      </c>
      <c r="AK173">
        <v>8.5790000000000006</v>
      </c>
      <c r="AL173">
        <v>8.7119999999999997</v>
      </c>
      <c r="AM173">
        <v>15.433999999999999</v>
      </c>
      <c r="AN173">
        <v>16.614000000000001</v>
      </c>
      <c r="AO173">
        <v>3.911</v>
      </c>
      <c r="AP173">
        <v>6.859</v>
      </c>
    </row>
    <row r="174" spans="1:42" x14ac:dyDescent="0.2">
      <c r="A174" t="s">
        <v>333</v>
      </c>
      <c r="B174">
        <v>2.488</v>
      </c>
      <c r="C174">
        <v>5.2060000000000004</v>
      </c>
      <c r="D174">
        <v>3.718</v>
      </c>
      <c r="E174">
        <v>3.64</v>
      </c>
      <c r="F174">
        <v>4.1340000000000003</v>
      </c>
      <c r="G174">
        <v>5.0430000000000001</v>
      </c>
      <c r="H174">
        <v>0.56599999999999995</v>
      </c>
      <c r="I174">
        <v>1.302</v>
      </c>
      <c r="J174">
        <v>3.0059999999999998</v>
      </c>
      <c r="K174">
        <v>3.0329999999999999</v>
      </c>
      <c r="L174">
        <v>3.0830000000000002</v>
      </c>
      <c r="M174">
        <v>3.093</v>
      </c>
      <c r="N174">
        <v>6.4290000000000003</v>
      </c>
      <c r="O174">
        <v>6.5739999999999998</v>
      </c>
      <c r="P174">
        <v>6.915</v>
      </c>
      <c r="Q174">
        <v>6.9980000000000002</v>
      </c>
      <c r="R174">
        <v>1.53</v>
      </c>
      <c r="S174">
        <v>7.3230000000000004</v>
      </c>
      <c r="T174">
        <v>4.9619999999999997</v>
      </c>
      <c r="U174">
        <v>3.911</v>
      </c>
      <c r="V174">
        <v>6.8659999999999997</v>
      </c>
      <c r="W174">
        <v>5.6550000000000002</v>
      </c>
      <c r="X174">
        <v>6.0910000000000002</v>
      </c>
      <c r="Y174">
        <v>3.706</v>
      </c>
      <c r="Z174">
        <v>6.0780000000000003</v>
      </c>
      <c r="AA174">
        <v>7.4409999999999998</v>
      </c>
      <c r="AB174">
        <v>7.5270000000000001</v>
      </c>
      <c r="AC174">
        <v>7.6289999999999996</v>
      </c>
      <c r="AD174">
        <v>7.641</v>
      </c>
      <c r="AE174">
        <v>7.585</v>
      </c>
      <c r="AF174">
        <v>12.926</v>
      </c>
      <c r="AG174">
        <v>13.452</v>
      </c>
      <c r="AH174">
        <v>14.343</v>
      </c>
      <c r="AI174">
        <v>14.489000000000001</v>
      </c>
      <c r="AJ174">
        <v>13.859</v>
      </c>
      <c r="AK174">
        <v>8.5850000000000009</v>
      </c>
      <c r="AL174">
        <v>8.7140000000000004</v>
      </c>
      <c r="AM174">
        <v>15.486000000000001</v>
      </c>
      <c r="AN174">
        <v>16.638999999999999</v>
      </c>
      <c r="AO174">
        <v>3.911</v>
      </c>
      <c r="AP174">
        <v>6.8659999999999997</v>
      </c>
    </row>
    <row r="175" spans="1:42" x14ac:dyDescent="0.2">
      <c r="A175" t="s">
        <v>334</v>
      </c>
      <c r="B175">
        <v>2.4900000000000002</v>
      </c>
      <c r="C175">
        <v>5.2210000000000001</v>
      </c>
      <c r="D175">
        <v>3.7210000000000001</v>
      </c>
      <c r="E175">
        <v>3.6429999999999998</v>
      </c>
      <c r="F175">
        <v>4.1440000000000001</v>
      </c>
      <c r="G175">
        <v>5.0529999999999999</v>
      </c>
      <c r="H175">
        <v>0.56899999999999995</v>
      </c>
      <c r="I175">
        <v>1.3149999999999999</v>
      </c>
      <c r="J175">
        <v>3.0110000000000001</v>
      </c>
      <c r="K175">
        <v>3.0369999999999999</v>
      </c>
      <c r="L175">
        <v>3.0859999999999999</v>
      </c>
      <c r="M175">
        <v>3.0960000000000001</v>
      </c>
      <c r="N175">
        <v>6.4569999999999999</v>
      </c>
      <c r="O175">
        <v>6.6</v>
      </c>
      <c r="P175">
        <v>6.9379999999999997</v>
      </c>
      <c r="Q175">
        <v>7.0190000000000001</v>
      </c>
      <c r="R175">
        <v>1.534</v>
      </c>
      <c r="S175">
        <v>7.3319999999999999</v>
      </c>
      <c r="T175">
        <v>4.9660000000000002</v>
      </c>
      <c r="U175">
        <v>3.9119999999999999</v>
      </c>
      <c r="V175">
        <v>6.8730000000000002</v>
      </c>
      <c r="W175">
        <v>5.6589999999999998</v>
      </c>
      <c r="X175">
        <v>6.0990000000000002</v>
      </c>
      <c r="Y175">
        <v>3.7130000000000001</v>
      </c>
      <c r="Z175">
        <v>6.1180000000000003</v>
      </c>
      <c r="AA175">
        <v>7.4489999999999998</v>
      </c>
      <c r="AB175">
        <v>7.532</v>
      </c>
      <c r="AC175">
        <v>7.63</v>
      </c>
      <c r="AD175">
        <v>7.6420000000000003</v>
      </c>
      <c r="AE175">
        <v>7.5880000000000001</v>
      </c>
      <c r="AF175">
        <v>12.975</v>
      </c>
      <c r="AG175">
        <v>13.492000000000001</v>
      </c>
      <c r="AH175">
        <v>14.364000000000001</v>
      </c>
      <c r="AI175">
        <v>14.506</v>
      </c>
      <c r="AJ175">
        <v>13.891999999999999</v>
      </c>
      <c r="AK175">
        <v>8.5909999999999993</v>
      </c>
      <c r="AL175">
        <v>8.7159999999999993</v>
      </c>
      <c r="AM175">
        <v>15.536</v>
      </c>
      <c r="AN175">
        <v>16.664000000000001</v>
      </c>
      <c r="AO175">
        <v>3.9119999999999999</v>
      </c>
      <c r="AP175">
        <v>6.8730000000000002</v>
      </c>
    </row>
    <row r="176" spans="1:42" x14ac:dyDescent="0.2">
      <c r="A176" t="s">
        <v>335</v>
      </c>
      <c r="B176">
        <v>2.492</v>
      </c>
      <c r="C176">
        <v>5.2359999999999998</v>
      </c>
      <c r="D176">
        <v>3.7240000000000002</v>
      </c>
      <c r="E176">
        <v>3.6459999999999999</v>
      </c>
      <c r="F176">
        <v>4.1529999999999996</v>
      </c>
      <c r="G176">
        <v>5.0629999999999997</v>
      </c>
      <c r="H176">
        <v>0.57099999999999995</v>
      </c>
      <c r="I176">
        <v>1.329</v>
      </c>
      <c r="J176">
        <v>3.0150000000000001</v>
      </c>
      <c r="K176">
        <v>3.0409999999999999</v>
      </c>
      <c r="L176">
        <v>3.089</v>
      </c>
      <c r="M176">
        <v>3.0990000000000002</v>
      </c>
      <c r="N176">
        <v>6.484</v>
      </c>
      <c r="O176">
        <v>6.6260000000000003</v>
      </c>
      <c r="P176">
        <v>6.96</v>
      </c>
      <c r="Q176">
        <v>7.04</v>
      </c>
      <c r="R176">
        <v>1.538</v>
      </c>
      <c r="S176">
        <v>7.3419999999999996</v>
      </c>
      <c r="T176">
        <v>4.9710000000000001</v>
      </c>
      <c r="U176">
        <v>3.9129999999999998</v>
      </c>
      <c r="V176">
        <v>6.8789999999999996</v>
      </c>
      <c r="W176">
        <v>5.6630000000000003</v>
      </c>
      <c r="X176">
        <v>6.1070000000000002</v>
      </c>
      <c r="Y176">
        <v>3.72</v>
      </c>
      <c r="Z176">
        <v>6.1580000000000004</v>
      </c>
      <c r="AA176">
        <v>7.4560000000000004</v>
      </c>
      <c r="AB176">
        <v>7.5369999999999999</v>
      </c>
      <c r="AC176">
        <v>7.6319999999999997</v>
      </c>
      <c r="AD176">
        <v>7.6429999999999998</v>
      </c>
      <c r="AE176">
        <v>7.5910000000000002</v>
      </c>
      <c r="AF176">
        <v>13.023999999999999</v>
      </c>
      <c r="AG176">
        <v>13.532</v>
      </c>
      <c r="AH176">
        <v>14.384</v>
      </c>
      <c r="AI176">
        <v>14.522</v>
      </c>
      <c r="AJ176">
        <v>13.923999999999999</v>
      </c>
      <c r="AK176">
        <v>8.5969999999999995</v>
      </c>
      <c r="AL176">
        <v>8.7170000000000005</v>
      </c>
      <c r="AM176">
        <v>15.585000000000001</v>
      </c>
      <c r="AN176">
        <v>16.687999999999999</v>
      </c>
      <c r="AO176">
        <v>3.9129999999999998</v>
      </c>
      <c r="AP176">
        <v>6.8789999999999996</v>
      </c>
    </row>
    <row r="177" spans="1:42" x14ac:dyDescent="0.2">
      <c r="A177" t="s">
        <v>336</v>
      </c>
      <c r="B177">
        <v>2.4940000000000002</v>
      </c>
      <c r="C177">
        <v>5.25</v>
      </c>
      <c r="D177">
        <v>3.7269999999999999</v>
      </c>
      <c r="E177">
        <v>3.649</v>
      </c>
      <c r="F177">
        <v>4.1619999999999999</v>
      </c>
      <c r="G177">
        <v>5.0720000000000001</v>
      </c>
      <c r="H177">
        <v>0.57399999999999995</v>
      </c>
      <c r="I177">
        <v>1.3420000000000001</v>
      </c>
      <c r="J177">
        <v>3.0190000000000001</v>
      </c>
      <c r="K177">
        <v>3.0449999999999999</v>
      </c>
      <c r="L177">
        <v>3.0920000000000001</v>
      </c>
      <c r="M177">
        <v>3.101</v>
      </c>
      <c r="N177">
        <v>6.5110000000000001</v>
      </c>
      <c r="O177">
        <v>6.6520000000000001</v>
      </c>
      <c r="P177">
        <v>6.9809999999999999</v>
      </c>
      <c r="Q177">
        <v>7.06</v>
      </c>
      <c r="R177">
        <v>1.542</v>
      </c>
      <c r="S177">
        <v>7.351</v>
      </c>
      <c r="T177">
        <v>4.9749999999999996</v>
      </c>
      <c r="U177">
        <v>3.9129999999999998</v>
      </c>
      <c r="V177">
        <v>6.8860000000000001</v>
      </c>
      <c r="W177">
        <v>5.6669999999999998</v>
      </c>
      <c r="X177">
        <v>6.1150000000000002</v>
      </c>
      <c r="Y177">
        <v>3.7269999999999999</v>
      </c>
      <c r="Z177">
        <v>6.1970000000000001</v>
      </c>
      <c r="AA177">
        <v>7.4630000000000001</v>
      </c>
      <c r="AB177">
        <v>7.5410000000000004</v>
      </c>
      <c r="AC177">
        <v>7.633</v>
      </c>
      <c r="AD177">
        <v>7.6440000000000001</v>
      </c>
      <c r="AE177">
        <v>7.593</v>
      </c>
      <c r="AF177">
        <v>13.071</v>
      </c>
      <c r="AG177">
        <v>13.57</v>
      </c>
      <c r="AH177">
        <v>14.404</v>
      </c>
      <c r="AI177">
        <v>14.538</v>
      </c>
      <c r="AJ177">
        <v>13.955</v>
      </c>
      <c r="AK177">
        <v>8.6029999999999998</v>
      </c>
      <c r="AL177">
        <v>8.7189999999999994</v>
      </c>
      <c r="AM177">
        <v>15.632999999999999</v>
      </c>
      <c r="AN177">
        <v>16.712</v>
      </c>
      <c r="AO177">
        <v>3.9129999999999998</v>
      </c>
      <c r="AP177">
        <v>6.8860000000000001</v>
      </c>
    </row>
    <row r="178" spans="1:42" x14ac:dyDescent="0.2">
      <c r="A178" t="s">
        <v>337</v>
      </c>
      <c r="B178">
        <v>2.496</v>
      </c>
      <c r="C178">
        <v>5.2649999999999997</v>
      </c>
      <c r="D178">
        <v>3.7290000000000001</v>
      </c>
      <c r="E178">
        <v>3.6509999999999998</v>
      </c>
      <c r="F178">
        <v>4.1710000000000003</v>
      </c>
      <c r="G178">
        <v>5.0819999999999999</v>
      </c>
      <c r="H178">
        <v>0.57599999999999996</v>
      </c>
      <c r="I178">
        <v>1.3560000000000001</v>
      </c>
      <c r="J178">
        <v>3.0230000000000001</v>
      </c>
      <c r="K178">
        <v>3.048</v>
      </c>
      <c r="L178">
        <v>3.0939999999999999</v>
      </c>
      <c r="M178">
        <v>3.1040000000000001</v>
      </c>
      <c r="N178">
        <v>6.5369999999999999</v>
      </c>
      <c r="O178">
        <v>6.6769999999999996</v>
      </c>
      <c r="P178">
        <v>7.0030000000000001</v>
      </c>
      <c r="Q178">
        <v>7.08</v>
      </c>
      <c r="R178">
        <v>1.546</v>
      </c>
      <c r="S178">
        <v>7.36</v>
      </c>
      <c r="T178">
        <v>4.9790000000000001</v>
      </c>
      <c r="U178">
        <v>3.9140000000000001</v>
      </c>
      <c r="V178">
        <v>6.8920000000000003</v>
      </c>
      <c r="W178">
        <v>5.67</v>
      </c>
      <c r="X178">
        <v>6.1219999999999999</v>
      </c>
      <c r="Y178">
        <v>3.7330000000000001</v>
      </c>
      <c r="Z178">
        <v>6.2350000000000003</v>
      </c>
      <c r="AA178">
        <v>7.47</v>
      </c>
      <c r="AB178">
        <v>7.5460000000000003</v>
      </c>
      <c r="AC178">
        <v>7.6349999999999998</v>
      </c>
      <c r="AD178">
        <v>7.6449999999999996</v>
      </c>
      <c r="AE178">
        <v>7.5960000000000001</v>
      </c>
      <c r="AF178">
        <v>13.118</v>
      </c>
      <c r="AG178">
        <v>13.608000000000001</v>
      </c>
      <c r="AH178">
        <v>14.423</v>
      </c>
      <c r="AI178">
        <v>14.554</v>
      </c>
      <c r="AJ178">
        <v>13.986000000000001</v>
      </c>
      <c r="AK178">
        <v>8.6080000000000005</v>
      </c>
      <c r="AL178">
        <v>8.7210000000000001</v>
      </c>
      <c r="AM178">
        <v>15.68</v>
      </c>
      <c r="AN178">
        <v>16.734999999999999</v>
      </c>
      <c r="AO178">
        <v>3.9140000000000001</v>
      </c>
      <c r="AP178">
        <v>6.8920000000000003</v>
      </c>
    </row>
    <row r="179" spans="1:42" x14ac:dyDescent="0.2">
      <c r="A179" t="s">
        <v>338</v>
      </c>
      <c r="B179">
        <v>2.4980000000000002</v>
      </c>
      <c r="C179">
        <v>5.2789999999999999</v>
      </c>
      <c r="D179">
        <v>3.7320000000000002</v>
      </c>
      <c r="E179">
        <v>3.6539999999999999</v>
      </c>
      <c r="F179">
        <v>4.18</v>
      </c>
      <c r="G179">
        <v>5.0910000000000002</v>
      </c>
      <c r="H179">
        <v>0.57899999999999996</v>
      </c>
      <c r="I179">
        <v>1.369</v>
      </c>
      <c r="J179">
        <v>3.0270000000000001</v>
      </c>
      <c r="K179">
        <v>3.052</v>
      </c>
      <c r="L179">
        <v>3.097</v>
      </c>
      <c r="M179">
        <v>3.1059999999999999</v>
      </c>
      <c r="N179">
        <v>6.5629999999999997</v>
      </c>
      <c r="O179">
        <v>6.702</v>
      </c>
      <c r="P179">
        <v>7.024</v>
      </c>
      <c r="Q179">
        <v>7.1</v>
      </c>
      <c r="R179">
        <v>1.5489999999999999</v>
      </c>
      <c r="S179">
        <v>7.3689999999999998</v>
      </c>
      <c r="T179">
        <v>4.9829999999999997</v>
      </c>
      <c r="U179">
        <v>3.9140000000000001</v>
      </c>
      <c r="V179">
        <v>6.8979999999999997</v>
      </c>
      <c r="W179">
        <v>5.6740000000000004</v>
      </c>
      <c r="X179">
        <v>6.1289999999999996</v>
      </c>
      <c r="Y179">
        <v>3.7389999999999999</v>
      </c>
      <c r="Z179">
        <v>6.2729999999999997</v>
      </c>
      <c r="AA179">
        <v>7.4770000000000003</v>
      </c>
      <c r="AB179">
        <v>7.55</v>
      </c>
      <c r="AC179">
        <v>7.6360000000000001</v>
      </c>
      <c r="AD179">
        <v>7.6459999999999999</v>
      </c>
      <c r="AE179">
        <v>7.5990000000000002</v>
      </c>
      <c r="AF179">
        <v>13.164</v>
      </c>
      <c r="AG179">
        <v>13.645</v>
      </c>
      <c r="AH179">
        <v>14.442</v>
      </c>
      <c r="AI179">
        <v>14.569000000000001</v>
      </c>
      <c r="AJ179">
        <v>14.015000000000001</v>
      </c>
      <c r="AK179">
        <v>8.6129999999999995</v>
      </c>
      <c r="AL179">
        <v>8.7230000000000008</v>
      </c>
      <c r="AM179">
        <v>15.726000000000001</v>
      </c>
      <c r="AN179">
        <v>16.757000000000001</v>
      </c>
      <c r="AO179">
        <v>3.9140000000000001</v>
      </c>
      <c r="AP179">
        <v>6.8979999999999997</v>
      </c>
    </row>
    <row r="180" spans="1:42" x14ac:dyDescent="0.2">
      <c r="A180" t="s">
        <v>339</v>
      </c>
      <c r="B180">
        <v>2.5</v>
      </c>
      <c r="C180">
        <v>5.2930000000000001</v>
      </c>
      <c r="D180">
        <v>3.7349999999999999</v>
      </c>
      <c r="E180">
        <v>3.657</v>
      </c>
      <c r="F180">
        <v>4.1890000000000001</v>
      </c>
      <c r="G180">
        <v>5.101</v>
      </c>
      <c r="H180">
        <v>0.58099999999999996</v>
      </c>
      <c r="I180">
        <v>1.3819999999999999</v>
      </c>
      <c r="J180">
        <v>3.0310000000000001</v>
      </c>
      <c r="K180">
        <v>3.0550000000000002</v>
      </c>
      <c r="L180">
        <v>3.1</v>
      </c>
      <c r="M180">
        <v>3.109</v>
      </c>
      <c r="N180">
        <v>6.5890000000000004</v>
      </c>
      <c r="O180">
        <v>6.7270000000000003</v>
      </c>
      <c r="P180">
        <v>7.0439999999999996</v>
      </c>
      <c r="Q180">
        <v>7.12</v>
      </c>
      <c r="R180">
        <v>1.5529999999999999</v>
      </c>
      <c r="S180">
        <v>7.3769999999999998</v>
      </c>
      <c r="T180">
        <v>4.9870000000000001</v>
      </c>
      <c r="U180">
        <v>3.915</v>
      </c>
      <c r="V180">
        <v>6.9039999999999999</v>
      </c>
      <c r="W180">
        <v>5.6769999999999996</v>
      </c>
      <c r="X180">
        <v>6.1360000000000001</v>
      </c>
      <c r="Y180">
        <v>3.746</v>
      </c>
      <c r="Z180">
        <v>6.31</v>
      </c>
      <c r="AA180">
        <v>7.4829999999999997</v>
      </c>
      <c r="AB180">
        <v>7.5540000000000003</v>
      </c>
      <c r="AC180">
        <v>7.6379999999999999</v>
      </c>
      <c r="AD180">
        <v>7.6470000000000002</v>
      </c>
      <c r="AE180">
        <v>7.6020000000000003</v>
      </c>
      <c r="AF180">
        <v>13.209</v>
      </c>
      <c r="AG180">
        <v>13.680999999999999</v>
      </c>
      <c r="AH180">
        <v>14.46</v>
      </c>
      <c r="AI180">
        <v>14.584</v>
      </c>
      <c r="AJ180">
        <v>14.044</v>
      </c>
      <c r="AK180">
        <v>8.6189999999999998</v>
      </c>
      <c r="AL180">
        <v>8.7240000000000002</v>
      </c>
      <c r="AM180">
        <v>15.771000000000001</v>
      </c>
      <c r="AN180">
        <v>16.779</v>
      </c>
      <c r="AO180">
        <v>3.915</v>
      </c>
      <c r="AP180">
        <v>6.9039999999999999</v>
      </c>
    </row>
    <row r="181" spans="1:42" x14ac:dyDescent="0.2">
      <c r="A181" t="s">
        <v>340</v>
      </c>
      <c r="B181">
        <v>2.5019999999999998</v>
      </c>
      <c r="C181">
        <v>5.3070000000000004</v>
      </c>
      <c r="D181">
        <v>3.7370000000000001</v>
      </c>
      <c r="E181">
        <v>3.6589999999999998</v>
      </c>
      <c r="F181">
        <v>4.1980000000000004</v>
      </c>
      <c r="G181">
        <v>5.1100000000000003</v>
      </c>
      <c r="H181">
        <v>0.58399999999999996</v>
      </c>
      <c r="I181">
        <v>1.395</v>
      </c>
      <c r="J181">
        <v>3.0350000000000001</v>
      </c>
      <c r="K181">
        <v>3.0579999999999998</v>
      </c>
      <c r="L181">
        <v>3.1019999999999999</v>
      </c>
      <c r="M181">
        <v>3.1110000000000002</v>
      </c>
      <c r="N181">
        <v>6.6150000000000002</v>
      </c>
      <c r="O181">
        <v>6.7510000000000003</v>
      </c>
      <c r="P181">
        <v>7.0640000000000001</v>
      </c>
      <c r="Q181">
        <v>7.1390000000000002</v>
      </c>
      <c r="R181">
        <v>1.5569999999999999</v>
      </c>
      <c r="S181">
        <v>7.3860000000000001</v>
      </c>
      <c r="T181">
        <v>4.9909999999999997</v>
      </c>
      <c r="U181">
        <v>3.915</v>
      </c>
      <c r="V181">
        <v>6.91</v>
      </c>
      <c r="W181">
        <v>5.681</v>
      </c>
      <c r="X181">
        <v>6.1429999999999998</v>
      </c>
      <c r="Y181">
        <v>3.7509999999999999</v>
      </c>
      <c r="Z181">
        <v>6.3460000000000001</v>
      </c>
      <c r="AA181">
        <v>7.4889999999999999</v>
      </c>
      <c r="AB181">
        <v>7.5579999999999998</v>
      </c>
      <c r="AC181">
        <v>7.6390000000000002</v>
      </c>
      <c r="AD181">
        <v>7.6479999999999997</v>
      </c>
      <c r="AE181">
        <v>7.6040000000000001</v>
      </c>
      <c r="AF181">
        <v>13.253</v>
      </c>
      <c r="AG181">
        <v>13.715999999999999</v>
      </c>
      <c r="AH181">
        <v>14.478</v>
      </c>
      <c r="AI181">
        <v>14.599</v>
      </c>
      <c r="AJ181">
        <v>14.073</v>
      </c>
      <c r="AK181">
        <v>8.6229999999999993</v>
      </c>
      <c r="AL181">
        <v>8.7260000000000009</v>
      </c>
      <c r="AM181">
        <v>15.815</v>
      </c>
      <c r="AN181">
        <v>16.8</v>
      </c>
      <c r="AO181">
        <v>3.915</v>
      </c>
      <c r="AP181">
        <v>6.91</v>
      </c>
    </row>
    <row r="182" spans="1:42" x14ac:dyDescent="0.2">
      <c r="A182" t="s">
        <v>341</v>
      </c>
      <c r="B182">
        <v>2.504</v>
      </c>
      <c r="C182">
        <v>5.32</v>
      </c>
      <c r="D182">
        <v>3.74</v>
      </c>
      <c r="E182">
        <v>3.6619999999999999</v>
      </c>
      <c r="F182">
        <v>4.2060000000000004</v>
      </c>
      <c r="G182">
        <v>5.1180000000000003</v>
      </c>
      <c r="H182">
        <v>0.58599999999999997</v>
      </c>
      <c r="I182">
        <v>1.4079999999999999</v>
      </c>
      <c r="J182">
        <v>3.0379999999999998</v>
      </c>
      <c r="K182">
        <v>3.0619999999999998</v>
      </c>
      <c r="L182">
        <v>3.105</v>
      </c>
      <c r="M182">
        <v>3.113</v>
      </c>
      <c r="N182">
        <v>6.64</v>
      </c>
      <c r="O182">
        <v>6.7750000000000004</v>
      </c>
      <c r="P182">
        <v>7.0839999999999996</v>
      </c>
      <c r="Q182">
        <v>7.157</v>
      </c>
      <c r="R182">
        <v>1.56</v>
      </c>
      <c r="S182">
        <v>7.3940000000000001</v>
      </c>
      <c r="T182">
        <v>4.9950000000000001</v>
      </c>
      <c r="U182">
        <v>3.915</v>
      </c>
      <c r="V182">
        <v>6.9160000000000004</v>
      </c>
      <c r="W182">
        <v>5.6840000000000002</v>
      </c>
      <c r="X182">
        <v>6.149</v>
      </c>
      <c r="Y182">
        <v>3.7570000000000001</v>
      </c>
      <c r="Z182">
        <v>6.3819999999999997</v>
      </c>
      <c r="AA182">
        <v>7.4950000000000001</v>
      </c>
      <c r="AB182">
        <v>7.5620000000000003</v>
      </c>
      <c r="AC182">
        <v>7.64</v>
      </c>
      <c r="AD182">
        <v>7.649</v>
      </c>
      <c r="AE182">
        <v>7.6059999999999999</v>
      </c>
      <c r="AF182">
        <v>13.297000000000001</v>
      </c>
      <c r="AG182">
        <v>13.750999999999999</v>
      </c>
      <c r="AH182">
        <v>14.494999999999999</v>
      </c>
      <c r="AI182">
        <v>14.613</v>
      </c>
      <c r="AJ182">
        <v>14.1</v>
      </c>
      <c r="AK182">
        <v>8.6280000000000001</v>
      </c>
      <c r="AL182">
        <v>8.7270000000000003</v>
      </c>
      <c r="AM182">
        <v>15.858000000000001</v>
      </c>
      <c r="AN182">
        <v>16.821000000000002</v>
      </c>
      <c r="AO182">
        <v>3.915</v>
      </c>
      <c r="AP182">
        <v>6.9160000000000004</v>
      </c>
    </row>
    <row r="183" spans="1:42" x14ac:dyDescent="0.2">
      <c r="A183" t="s">
        <v>342</v>
      </c>
      <c r="B183">
        <v>2.5059999999999998</v>
      </c>
      <c r="C183">
        <v>5.3339999999999996</v>
      </c>
      <c r="D183">
        <v>3.742</v>
      </c>
      <c r="E183">
        <v>3.6640000000000001</v>
      </c>
      <c r="F183">
        <v>4.2149999999999999</v>
      </c>
      <c r="G183">
        <v>5.1269999999999998</v>
      </c>
      <c r="H183">
        <v>0.58799999999999997</v>
      </c>
      <c r="I183">
        <v>1.421</v>
      </c>
      <c r="J183">
        <v>3.0419999999999998</v>
      </c>
      <c r="K183">
        <v>3.0649999999999999</v>
      </c>
      <c r="L183">
        <v>3.1070000000000002</v>
      </c>
      <c r="M183">
        <v>3.1160000000000001</v>
      </c>
      <c r="N183">
        <v>6.6639999999999997</v>
      </c>
      <c r="O183">
        <v>6.7990000000000004</v>
      </c>
      <c r="P183">
        <v>7.1040000000000001</v>
      </c>
      <c r="Q183">
        <v>7.1760000000000002</v>
      </c>
      <c r="R183">
        <v>1.5640000000000001</v>
      </c>
      <c r="S183">
        <v>7.4020000000000001</v>
      </c>
      <c r="T183">
        <v>4.9980000000000002</v>
      </c>
      <c r="U183">
        <v>3.9159999999999999</v>
      </c>
      <c r="V183">
        <v>6.9219999999999997</v>
      </c>
      <c r="W183">
        <v>5.6879999999999997</v>
      </c>
      <c r="X183">
        <v>6.1559999999999997</v>
      </c>
      <c r="Y183">
        <v>3.762</v>
      </c>
      <c r="Z183">
        <v>6.4160000000000004</v>
      </c>
      <c r="AA183">
        <v>7.5010000000000003</v>
      </c>
      <c r="AB183">
        <v>7.5659999999999998</v>
      </c>
      <c r="AC183">
        <v>7.6420000000000003</v>
      </c>
      <c r="AD183">
        <v>7.65</v>
      </c>
      <c r="AE183">
        <v>7.609</v>
      </c>
      <c r="AF183">
        <v>13.339</v>
      </c>
      <c r="AG183">
        <v>13.785</v>
      </c>
      <c r="AH183">
        <v>14.512</v>
      </c>
      <c r="AI183">
        <v>14.627000000000001</v>
      </c>
      <c r="AJ183">
        <v>14.127000000000001</v>
      </c>
      <c r="AK183">
        <v>8.6329999999999991</v>
      </c>
      <c r="AL183">
        <v>8.7289999999999992</v>
      </c>
      <c r="AM183">
        <v>15.901</v>
      </c>
      <c r="AN183">
        <v>16.841000000000001</v>
      </c>
      <c r="AO183">
        <v>3.9159999999999999</v>
      </c>
      <c r="AP183">
        <v>6.9219999999999997</v>
      </c>
    </row>
    <row r="184" spans="1:42" x14ac:dyDescent="0.2">
      <c r="A184" t="s">
        <v>343</v>
      </c>
      <c r="B184">
        <v>2.508</v>
      </c>
      <c r="C184">
        <v>5.3470000000000004</v>
      </c>
      <c r="D184">
        <v>3.7450000000000001</v>
      </c>
      <c r="E184">
        <v>3.6669999999999998</v>
      </c>
      <c r="F184">
        <v>4.2229999999999999</v>
      </c>
      <c r="G184">
        <v>5.1360000000000001</v>
      </c>
      <c r="H184">
        <v>0.59</v>
      </c>
      <c r="I184">
        <v>1.4330000000000001</v>
      </c>
      <c r="J184">
        <v>3.0459999999999998</v>
      </c>
      <c r="K184">
        <v>3.0680000000000001</v>
      </c>
      <c r="L184">
        <v>3.109</v>
      </c>
      <c r="M184">
        <v>3.1179999999999999</v>
      </c>
      <c r="N184">
        <v>6.6890000000000001</v>
      </c>
      <c r="O184">
        <v>6.8220000000000001</v>
      </c>
      <c r="P184">
        <v>7.1230000000000002</v>
      </c>
      <c r="Q184">
        <v>7.194</v>
      </c>
      <c r="R184">
        <v>1.5680000000000001</v>
      </c>
      <c r="S184">
        <v>7.41</v>
      </c>
      <c r="T184">
        <v>5.0019999999999998</v>
      </c>
      <c r="U184">
        <v>3.9159999999999999</v>
      </c>
      <c r="V184">
        <v>6.9269999999999996</v>
      </c>
      <c r="W184">
        <v>5.6909999999999998</v>
      </c>
      <c r="X184">
        <v>6.1619999999999999</v>
      </c>
      <c r="Y184">
        <v>3.7679999999999998</v>
      </c>
      <c r="Z184">
        <v>6.4509999999999996</v>
      </c>
      <c r="AA184">
        <v>7.5069999999999997</v>
      </c>
      <c r="AB184">
        <v>7.569</v>
      </c>
      <c r="AC184">
        <v>7.6429999999999998</v>
      </c>
      <c r="AD184">
        <v>7.6509999999999998</v>
      </c>
      <c r="AE184">
        <v>7.6109999999999998</v>
      </c>
      <c r="AF184">
        <v>13.381</v>
      </c>
      <c r="AG184">
        <v>13.818</v>
      </c>
      <c r="AH184">
        <v>14.528</v>
      </c>
      <c r="AI184">
        <v>14.64</v>
      </c>
      <c r="AJ184">
        <v>14.153</v>
      </c>
      <c r="AK184">
        <v>8.6370000000000005</v>
      </c>
      <c r="AL184">
        <v>8.73</v>
      </c>
      <c r="AM184">
        <v>15.942</v>
      </c>
      <c r="AN184">
        <v>16.86</v>
      </c>
      <c r="AO184">
        <v>3.9159999999999999</v>
      </c>
      <c r="AP184">
        <v>6.9269999999999996</v>
      </c>
    </row>
    <row r="185" spans="1:42" x14ac:dyDescent="0.2">
      <c r="A185" t="s">
        <v>344</v>
      </c>
      <c r="B185">
        <v>2.5089999999999999</v>
      </c>
      <c r="C185">
        <v>5.36</v>
      </c>
      <c r="D185">
        <v>3.7469999999999999</v>
      </c>
      <c r="E185">
        <v>3.669</v>
      </c>
      <c r="F185">
        <v>4.2309999999999999</v>
      </c>
      <c r="G185">
        <v>5.1440000000000001</v>
      </c>
      <c r="H185">
        <v>0.59299999999999997</v>
      </c>
      <c r="I185">
        <v>1.446</v>
      </c>
      <c r="J185">
        <v>3.0489999999999999</v>
      </c>
      <c r="K185">
        <v>3.0710000000000002</v>
      </c>
      <c r="L185">
        <v>3.1120000000000001</v>
      </c>
      <c r="M185">
        <v>3.12</v>
      </c>
      <c r="N185">
        <v>6.7130000000000001</v>
      </c>
      <c r="O185">
        <v>6.8449999999999998</v>
      </c>
      <c r="P185">
        <v>7.1420000000000003</v>
      </c>
      <c r="Q185">
        <v>7.2119999999999997</v>
      </c>
      <c r="R185">
        <v>1.571</v>
      </c>
      <c r="S185">
        <v>7.4169999999999998</v>
      </c>
      <c r="T185">
        <v>5.0060000000000002</v>
      </c>
      <c r="U185">
        <v>3.9169999999999998</v>
      </c>
      <c r="V185">
        <v>6.9320000000000004</v>
      </c>
      <c r="W185">
        <v>5.694</v>
      </c>
      <c r="X185">
        <v>6.1680000000000001</v>
      </c>
      <c r="Y185">
        <v>3.7730000000000001</v>
      </c>
      <c r="Z185">
        <v>6.484</v>
      </c>
      <c r="AA185">
        <v>7.5119999999999996</v>
      </c>
      <c r="AB185">
        <v>7.5730000000000004</v>
      </c>
      <c r="AC185">
        <v>7.6440000000000001</v>
      </c>
      <c r="AD185">
        <v>7.6520000000000001</v>
      </c>
      <c r="AE185">
        <v>7.6130000000000004</v>
      </c>
      <c r="AF185">
        <v>13.420999999999999</v>
      </c>
      <c r="AG185">
        <v>13.85</v>
      </c>
      <c r="AH185">
        <v>14.544</v>
      </c>
      <c r="AI185">
        <v>14.653</v>
      </c>
      <c r="AJ185">
        <v>14.179</v>
      </c>
      <c r="AK185">
        <v>8.6419999999999995</v>
      </c>
      <c r="AL185">
        <v>8.7319999999999993</v>
      </c>
      <c r="AM185">
        <v>15.981999999999999</v>
      </c>
      <c r="AN185">
        <v>16.88</v>
      </c>
      <c r="AO185">
        <v>3.9169999999999998</v>
      </c>
      <c r="AP185">
        <v>6.9320000000000004</v>
      </c>
    </row>
    <row r="186" spans="1:42" x14ac:dyDescent="0.2">
      <c r="A186" t="s">
        <v>345</v>
      </c>
      <c r="B186">
        <v>2.5110000000000001</v>
      </c>
      <c r="C186">
        <v>5.3719999999999999</v>
      </c>
      <c r="D186">
        <v>3.75</v>
      </c>
      <c r="E186">
        <v>3.6720000000000002</v>
      </c>
      <c r="F186">
        <v>4.2389999999999999</v>
      </c>
      <c r="G186">
        <v>5.1520000000000001</v>
      </c>
      <c r="H186">
        <v>0.59499999999999997</v>
      </c>
      <c r="I186">
        <v>1.458</v>
      </c>
      <c r="J186">
        <v>3.0529999999999999</v>
      </c>
      <c r="K186">
        <v>3.0739999999999998</v>
      </c>
      <c r="L186">
        <v>3.1139999999999999</v>
      </c>
      <c r="M186">
        <v>3.1219999999999999</v>
      </c>
      <c r="N186">
        <v>6.7370000000000001</v>
      </c>
      <c r="O186">
        <v>6.867</v>
      </c>
      <c r="P186">
        <v>7.1609999999999996</v>
      </c>
      <c r="Q186">
        <v>7.2290000000000001</v>
      </c>
      <c r="R186">
        <v>1.575</v>
      </c>
      <c r="S186">
        <v>7.4249999999999998</v>
      </c>
      <c r="T186">
        <v>5.0090000000000003</v>
      </c>
      <c r="U186">
        <v>3.9169999999999998</v>
      </c>
      <c r="V186">
        <v>6.9379999999999997</v>
      </c>
      <c r="W186">
        <v>5.6970000000000001</v>
      </c>
      <c r="X186">
        <v>6.1740000000000004</v>
      </c>
      <c r="Y186">
        <v>3.778</v>
      </c>
      <c r="Z186">
        <v>6.5170000000000003</v>
      </c>
      <c r="AA186">
        <v>7.5179999999999998</v>
      </c>
      <c r="AB186">
        <v>7.5759999999999996</v>
      </c>
      <c r="AC186">
        <v>7.6449999999999996</v>
      </c>
      <c r="AD186">
        <v>7.6529999999999996</v>
      </c>
      <c r="AE186">
        <v>7.6150000000000002</v>
      </c>
      <c r="AF186">
        <v>13.461</v>
      </c>
      <c r="AG186">
        <v>13.882</v>
      </c>
      <c r="AH186">
        <v>14.558999999999999</v>
      </c>
      <c r="AI186">
        <v>14.666</v>
      </c>
      <c r="AJ186">
        <v>14.204000000000001</v>
      </c>
      <c r="AK186">
        <v>8.6460000000000008</v>
      </c>
      <c r="AL186">
        <v>8.7330000000000005</v>
      </c>
      <c r="AM186">
        <v>16.021000000000001</v>
      </c>
      <c r="AN186">
        <v>16.898</v>
      </c>
      <c r="AO186">
        <v>3.9169999999999998</v>
      </c>
      <c r="AP186">
        <v>6.9379999999999997</v>
      </c>
    </row>
    <row r="187" spans="1:42" x14ac:dyDescent="0.2">
      <c r="A187" t="s">
        <v>346</v>
      </c>
      <c r="B187">
        <v>2.5129999999999999</v>
      </c>
      <c r="C187">
        <v>5.3849999999999998</v>
      </c>
      <c r="D187">
        <v>3.7519999999999998</v>
      </c>
      <c r="E187">
        <v>3.6739999999999999</v>
      </c>
      <c r="F187">
        <v>4.2469999999999999</v>
      </c>
      <c r="G187">
        <v>5.1609999999999996</v>
      </c>
      <c r="H187">
        <v>0.59699999999999998</v>
      </c>
      <c r="I187">
        <v>1.4710000000000001</v>
      </c>
      <c r="J187">
        <v>3.056</v>
      </c>
      <c r="K187">
        <v>3.077</v>
      </c>
      <c r="L187">
        <v>3.1160000000000001</v>
      </c>
      <c r="M187">
        <v>3.1240000000000001</v>
      </c>
      <c r="N187">
        <v>6.76</v>
      </c>
      <c r="O187">
        <v>6.89</v>
      </c>
      <c r="P187">
        <v>7.1790000000000003</v>
      </c>
      <c r="Q187">
        <v>7.2469999999999999</v>
      </c>
      <c r="R187">
        <v>1.5780000000000001</v>
      </c>
      <c r="S187">
        <v>7.4320000000000004</v>
      </c>
      <c r="T187">
        <v>5.0129999999999999</v>
      </c>
      <c r="U187">
        <v>3.9169999999999998</v>
      </c>
      <c r="V187">
        <v>6.9429999999999996</v>
      </c>
      <c r="W187">
        <v>5.7</v>
      </c>
      <c r="X187">
        <v>6.18</v>
      </c>
      <c r="Y187">
        <v>3.7829999999999999</v>
      </c>
      <c r="Z187">
        <v>6.5490000000000004</v>
      </c>
      <c r="AA187">
        <v>7.5229999999999997</v>
      </c>
      <c r="AB187">
        <v>7.58</v>
      </c>
      <c r="AC187">
        <v>7.6459999999999999</v>
      </c>
      <c r="AD187">
        <v>7.6539999999999999</v>
      </c>
      <c r="AE187">
        <v>7.617</v>
      </c>
      <c r="AF187">
        <v>13.500999999999999</v>
      </c>
      <c r="AG187">
        <v>13.913</v>
      </c>
      <c r="AH187">
        <v>14.574999999999999</v>
      </c>
      <c r="AI187">
        <v>14.679</v>
      </c>
      <c r="AJ187">
        <v>14.228</v>
      </c>
      <c r="AK187">
        <v>8.65</v>
      </c>
      <c r="AL187">
        <v>8.734</v>
      </c>
      <c r="AM187">
        <v>16.059999999999999</v>
      </c>
      <c r="AN187">
        <v>16.916</v>
      </c>
      <c r="AO187">
        <v>3.9169999999999998</v>
      </c>
      <c r="AP187">
        <v>6.9429999999999996</v>
      </c>
    </row>
    <row r="188" spans="1:42" x14ac:dyDescent="0.2">
      <c r="A188" t="s">
        <v>347</v>
      </c>
      <c r="B188">
        <v>2.5139999999999998</v>
      </c>
      <c r="C188">
        <v>5.3970000000000002</v>
      </c>
      <c r="D188">
        <v>3.754</v>
      </c>
      <c r="E188">
        <v>3.6760000000000002</v>
      </c>
      <c r="F188">
        <v>4.2539999999999996</v>
      </c>
      <c r="G188">
        <v>5.1689999999999996</v>
      </c>
      <c r="H188">
        <v>0.59899999999999998</v>
      </c>
      <c r="I188">
        <v>1.4830000000000001</v>
      </c>
      <c r="J188">
        <v>3.0590000000000002</v>
      </c>
      <c r="K188">
        <v>3.08</v>
      </c>
      <c r="L188">
        <v>3.1179999999999999</v>
      </c>
      <c r="M188">
        <v>3.1259999999999999</v>
      </c>
      <c r="N188">
        <v>6.7839999999999998</v>
      </c>
      <c r="O188">
        <v>6.9119999999999999</v>
      </c>
      <c r="P188">
        <v>7.1970000000000001</v>
      </c>
      <c r="Q188">
        <v>7.2640000000000002</v>
      </c>
      <c r="R188">
        <v>1.5820000000000001</v>
      </c>
      <c r="S188">
        <v>7.44</v>
      </c>
      <c r="T188">
        <v>5.016</v>
      </c>
      <c r="U188">
        <v>3.9180000000000001</v>
      </c>
      <c r="V188">
        <v>6.9470000000000001</v>
      </c>
      <c r="W188">
        <v>5.7030000000000003</v>
      </c>
      <c r="X188">
        <v>6.1859999999999999</v>
      </c>
      <c r="Y188">
        <v>3.7869999999999999</v>
      </c>
      <c r="Z188">
        <v>6.5810000000000004</v>
      </c>
      <c r="AA188">
        <v>7.5279999999999996</v>
      </c>
      <c r="AB188">
        <v>7.5830000000000002</v>
      </c>
      <c r="AC188">
        <v>7.6470000000000002</v>
      </c>
      <c r="AD188">
        <v>7.6550000000000002</v>
      </c>
      <c r="AE188">
        <v>7.6189999999999998</v>
      </c>
      <c r="AF188">
        <v>13.539</v>
      </c>
      <c r="AG188">
        <v>13.943</v>
      </c>
      <c r="AH188">
        <v>14.589</v>
      </c>
      <c r="AI188">
        <v>14.691000000000001</v>
      </c>
      <c r="AJ188">
        <v>14.250999999999999</v>
      </c>
      <c r="AK188">
        <v>8.6539999999999999</v>
      </c>
      <c r="AL188">
        <v>8.7349999999999994</v>
      </c>
      <c r="AM188">
        <v>16.097999999999999</v>
      </c>
      <c r="AN188">
        <v>16.934000000000001</v>
      </c>
      <c r="AO188">
        <v>3.9180000000000001</v>
      </c>
      <c r="AP188">
        <v>6.9470000000000001</v>
      </c>
    </row>
    <row r="189" spans="1:42" x14ac:dyDescent="0.2">
      <c r="A189" t="s">
        <v>348</v>
      </c>
      <c r="B189">
        <v>2.516</v>
      </c>
      <c r="C189">
        <v>5.4089999999999998</v>
      </c>
      <c r="D189">
        <v>3.7559999999999998</v>
      </c>
      <c r="E189">
        <v>3.6779999999999999</v>
      </c>
      <c r="F189">
        <v>4.2619999999999996</v>
      </c>
      <c r="G189">
        <v>5.1760000000000002</v>
      </c>
      <c r="H189">
        <v>0.60099999999999998</v>
      </c>
      <c r="I189">
        <v>1.4950000000000001</v>
      </c>
      <c r="J189">
        <v>3.0630000000000002</v>
      </c>
      <c r="K189">
        <v>3.0830000000000002</v>
      </c>
      <c r="L189">
        <v>3.121</v>
      </c>
      <c r="M189">
        <v>3.1280000000000001</v>
      </c>
      <c r="N189">
        <v>6.806</v>
      </c>
      <c r="O189">
        <v>6.9329999999999998</v>
      </c>
      <c r="P189">
        <v>7.2149999999999999</v>
      </c>
      <c r="Q189">
        <v>7.28</v>
      </c>
      <c r="R189">
        <v>1.585</v>
      </c>
      <c r="S189">
        <v>7.4470000000000001</v>
      </c>
      <c r="T189">
        <v>5.0190000000000001</v>
      </c>
      <c r="U189">
        <v>3.9180000000000001</v>
      </c>
      <c r="V189">
        <v>6.952</v>
      </c>
      <c r="W189">
        <v>5.7050000000000001</v>
      </c>
      <c r="X189">
        <v>6.1909999999999998</v>
      </c>
      <c r="Y189">
        <v>3.7919999999999998</v>
      </c>
      <c r="Z189">
        <v>6.6120000000000001</v>
      </c>
      <c r="AA189">
        <v>7.5330000000000004</v>
      </c>
      <c r="AB189">
        <v>7.5860000000000003</v>
      </c>
      <c r="AC189">
        <v>7.6479999999999997</v>
      </c>
      <c r="AD189">
        <v>7.6559999999999997</v>
      </c>
      <c r="AE189">
        <v>7.6210000000000004</v>
      </c>
      <c r="AF189">
        <v>13.576000000000001</v>
      </c>
      <c r="AG189">
        <v>13.972</v>
      </c>
      <c r="AH189">
        <v>14.603999999999999</v>
      </c>
      <c r="AI189">
        <v>14.702</v>
      </c>
      <c r="AJ189">
        <v>14.273999999999999</v>
      </c>
      <c r="AK189">
        <v>8.6579999999999995</v>
      </c>
      <c r="AL189">
        <v>8.7370000000000001</v>
      </c>
      <c r="AM189">
        <v>16.134</v>
      </c>
      <c r="AN189">
        <v>16.951000000000001</v>
      </c>
      <c r="AO189">
        <v>3.9180000000000001</v>
      </c>
      <c r="AP189">
        <v>6.952</v>
      </c>
    </row>
    <row r="190" spans="1:42" x14ac:dyDescent="0.2">
      <c r="A190" t="s">
        <v>349</v>
      </c>
      <c r="B190">
        <v>2.5179999999999998</v>
      </c>
      <c r="C190">
        <v>5.4210000000000003</v>
      </c>
      <c r="D190">
        <v>3.7589999999999999</v>
      </c>
      <c r="E190">
        <v>3.681</v>
      </c>
      <c r="F190">
        <v>4.2699999999999996</v>
      </c>
      <c r="G190">
        <v>5.1840000000000002</v>
      </c>
      <c r="H190">
        <v>0.60299999999999998</v>
      </c>
      <c r="I190">
        <v>1.5069999999999999</v>
      </c>
      <c r="J190">
        <v>3.0659999999999998</v>
      </c>
      <c r="K190">
        <v>3.0859999999999999</v>
      </c>
      <c r="L190">
        <v>3.1230000000000002</v>
      </c>
      <c r="M190">
        <v>3.13</v>
      </c>
      <c r="N190">
        <v>6.8289999999999997</v>
      </c>
      <c r="O190">
        <v>6.9539999999999997</v>
      </c>
      <c r="P190">
        <v>7.2320000000000002</v>
      </c>
      <c r="Q190">
        <v>7.2969999999999997</v>
      </c>
      <c r="R190">
        <v>1.589</v>
      </c>
      <c r="S190">
        <v>7.4539999999999997</v>
      </c>
      <c r="T190">
        <v>5.0220000000000002</v>
      </c>
      <c r="U190">
        <v>3.919</v>
      </c>
      <c r="V190">
        <v>6.9569999999999999</v>
      </c>
      <c r="W190">
        <v>5.7080000000000002</v>
      </c>
      <c r="X190">
        <v>6.1970000000000001</v>
      </c>
      <c r="Y190">
        <v>3.7959999999999998</v>
      </c>
      <c r="Z190">
        <v>6.6420000000000003</v>
      </c>
      <c r="AA190">
        <v>7.5369999999999999</v>
      </c>
      <c r="AB190">
        <v>7.5890000000000004</v>
      </c>
      <c r="AC190">
        <v>7.649</v>
      </c>
      <c r="AD190">
        <v>7.6559999999999997</v>
      </c>
      <c r="AE190">
        <v>7.6230000000000002</v>
      </c>
      <c r="AF190">
        <v>13.613</v>
      </c>
      <c r="AG190">
        <v>14.000999999999999</v>
      </c>
      <c r="AH190">
        <v>14.618</v>
      </c>
      <c r="AI190">
        <v>14.714</v>
      </c>
      <c r="AJ190">
        <v>14.297000000000001</v>
      </c>
      <c r="AK190">
        <v>8.6620000000000008</v>
      </c>
      <c r="AL190">
        <v>8.7379999999999995</v>
      </c>
      <c r="AM190">
        <v>16.170000000000002</v>
      </c>
      <c r="AN190">
        <v>16.968</v>
      </c>
      <c r="AO190">
        <v>3.919</v>
      </c>
      <c r="AP190">
        <v>6.9569999999999999</v>
      </c>
    </row>
    <row r="191" spans="1:42" x14ac:dyDescent="0.2">
      <c r="A191" t="s">
        <v>350</v>
      </c>
      <c r="B191">
        <v>2.5190000000000001</v>
      </c>
      <c r="C191">
        <v>5.4329999999999998</v>
      </c>
      <c r="D191">
        <v>3.7610000000000001</v>
      </c>
      <c r="E191">
        <v>3.6829999999999998</v>
      </c>
      <c r="F191">
        <v>4.2770000000000001</v>
      </c>
      <c r="G191">
        <v>5.1920000000000002</v>
      </c>
      <c r="H191">
        <v>0.60499999999999998</v>
      </c>
      <c r="I191">
        <v>1.5189999999999999</v>
      </c>
      <c r="J191">
        <v>3.069</v>
      </c>
      <c r="K191">
        <v>3.089</v>
      </c>
      <c r="L191">
        <v>3.125</v>
      </c>
      <c r="M191">
        <v>3.1320000000000001</v>
      </c>
      <c r="N191">
        <v>6.851</v>
      </c>
      <c r="O191">
        <v>6.9749999999999996</v>
      </c>
      <c r="P191">
        <v>7.25</v>
      </c>
      <c r="Q191">
        <v>7.3129999999999997</v>
      </c>
      <c r="R191">
        <v>1.5920000000000001</v>
      </c>
      <c r="S191">
        <v>7.46</v>
      </c>
      <c r="T191">
        <v>5.0250000000000004</v>
      </c>
      <c r="U191">
        <v>3.919</v>
      </c>
      <c r="V191">
        <v>6.9610000000000003</v>
      </c>
      <c r="W191">
        <v>5.7110000000000003</v>
      </c>
      <c r="X191">
        <v>6.202</v>
      </c>
      <c r="Y191">
        <v>3.8</v>
      </c>
      <c r="Z191">
        <v>6.6719999999999997</v>
      </c>
      <c r="AA191">
        <v>7.5419999999999998</v>
      </c>
      <c r="AB191">
        <v>7.5919999999999996</v>
      </c>
      <c r="AC191">
        <v>7.65</v>
      </c>
      <c r="AD191">
        <v>7.657</v>
      </c>
      <c r="AE191">
        <v>7.625</v>
      </c>
      <c r="AF191">
        <v>13.648999999999999</v>
      </c>
      <c r="AG191">
        <v>14.029</v>
      </c>
      <c r="AH191">
        <v>14.631</v>
      </c>
      <c r="AI191">
        <v>14.725</v>
      </c>
      <c r="AJ191">
        <v>14.319000000000001</v>
      </c>
      <c r="AK191">
        <v>8.6649999999999991</v>
      </c>
      <c r="AL191">
        <v>8.7390000000000008</v>
      </c>
      <c r="AM191">
        <v>16.204999999999998</v>
      </c>
      <c r="AN191">
        <v>16.984999999999999</v>
      </c>
      <c r="AO191">
        <v>3.919</v>
      </c>
      <c r="AP191">
        <v>6.9610000000000003</v>
      </c>
    </row>
    <row r="192" spans="1:42" x14ac:dyDescent="0.2">
      <c r="A192" t="s">
        <v>351</v>
      </c>
      <c r="B192">
        <v>2.5209999999999999</v>
      </c>
      <c r="C192">
        <v>5.444</v>
      </c>
      <c r="D192">
        <v>3.7629999999999999</v>
      </c>
      <c r="E192">
        <v>3.6850000000000001</v>
      </c>
      <c r="F192">
        <v>4.2839999999999998</v>
      </c>
      <c r="G192">
        <v>5.1989999999999998</v>
      </c>
      <c r="H192">
        <v>0.60699999999999998</v>
      </c>
      <c r="I192">
        <v>1.53</v>
      </c>
      <c r="J192">
        <v>3.0720000000000001</v>
      </c>
      <c r="K192">
        <v>3.0920000000000001</v>
      </c>
      <c r="L192">
        <v>3.1269999999999998</v>
      </c>
      <c r="M192">
        <v>3.1339999999999999</v>
      </c>
      <c r="N192">
        <v>6.8730000000000002</v>
      </c>
      <c r="O192">
        <v>6.9960000000000004</v>
      </c>
      <c r="P192">
        <v>7.266</v>
      </c>
      <c r="Q192">
        <v>7.3289999999999997</v>
      </c>
      <c r="R192">
        <v>1.595</v>
      </c>
      <c r="S192">
        <v>7.4669999999999996</v>
      </c>
      <c r="T192">
        <v>5.0279999999999996</v>
      </c>
      <c r="U192">
        <v>3.919</v>
      </c>
      <c r="V192">
        <v>6.9660000000000002</v>
      </c>
      <c r="W192">
        <v>5.7130000000000001</v>
      </c>
      <c r="X192">
        <v>6.2069999999999999</v>
      </c>
      <c r="Y192">
        <v>3.8050000000000002</v>
      </c>
      <c r="Z192">
        <v>6.7009999999999996</v>
      </c>
      <c r="AA192">
        <v>7.5460000000000003</v>
      </c>
      <c r="AB192">
        <v>7.5949999999999998</v>
      </c>
      <c r="AC192">
        <v>7.6509999999999998</v>
      </c>
      <c r="AD192">
        <v>7.6580000000000004</v>
      </c>
      <c r="AE192">
        <v>7.6269999999999998</v>
      </c>
      <c r="AF192">
        <v>13.683999999999999</v>
      </c>
      <c r="AG192">
        <v>14.057</v>
      </c>
      <c r="AH192">
        <v>14.645</v>
      </c>
      <c r="AI192">
        <v>14.736000000000001</v>
      </c>
      <c r="AJ192">
        <v>14.34</v>
      </c>
      <c r="AK192">
        <v>8.6690000000000005</v>
      </c>
      <c r="AL192">
        <v>8.74</v>
      </c>
      <c r="AM192">
        <v>16.239999999999998</v>
      </c>
      <c r="AN192">
        <v>17.001000000000001</v>
      </c>
      <c r="AO192">
        <v>3.919</v>
      </c>
      <c r="AP192">
        <v>6.9660000000000002</v>
      </c>
    </row>
    <row r="193" spans="1:42" x14ac:dyDescent="0.2">
      <c r="A193" t="s">
        <v>352</v>
      </c>
      <c r="B193">
        <v>2.5219999999999998</v>
      </c>
      <c r="C193">
        <v>5.4550000000000001</v>
      </c>
      <c r="D193">
        <v>3.7650000000000001</v>
      </c>
      <c r="E193">
        <v>3.6869999999999998</v>
      </c>
      <c r="F193">
        <v>4.2910000000000004</v>
      </c>
      <c r="G193">
        <v>5.2060000000000004</v>
      </c>
      <c r="H193">
        <v>0.60899999999999999</v>
      </c>
      <c r="I193">
        <v>1.542</v>
      </c>
      <c r="J193">
        <v>3.0750000000000002</v>
      </c>
      <c r="K193">
        <v>3.0939999999999999</v>
      </c>
      <c r="L193">
        <v>3.129</v>
      </c>
      <c r="M193">
        <v>3.1360000000000001</v>
      </c>
      <c r="N193">
        <v>6.8949999999999996</v>
      </c>
      <c r="O193">
        <v>7.016</v>
      </c>
      <c r="P193">
        <v>7.2830000000000004</v>
      </c>
      <c r="Q193">
        <v>7.3440000000000003</v>
      </c>
      <c r="R193">
        <v>1.599</v>
      </c>
      <c r="S193">
        <v>7.4740000000000002</v>
      </c>
      <c r="T193">
        <v>5.0309999999999997</v>
      </c>
      <c r="U193">
        <v>3.919</v>
      </c>
      <c r="V193">
        <v>6.97</v>
      </c>
      <c r="W193">
        <v>5.7160000000000002</v>
      </c>
      <c r="X193">
        <v>6.2119999999999997</v>
      </c>
      <c r="Y193">
        <v>3.8090000000000002</v>
      </c>
      <c r="Z193">
        <v>6.7290000000000001</v>
      </c>
      <c r="AA193">
        <v>7.5510000000000002</v>
      </c>
      <c r="AB193">
        <v>7.5970000000000004</v>
      </c>
      <c r="AC193">
        <v>7.6520000000000001</v>
      </c>
      <c r="AD193">
        <v>7.6589999999999998</v>
      </c>
      <c r="AE193">
        <v>7.6280000000000001</v>
      </c>
      <c r="AF193">
        <v>13.718999999999999</v>
      </c>
      <c r="AG193">
        <v>14.083</v>
      </c>
      <c r="AH193">
        <v>14.657999999999999</v>
      </c>
      <c r="AI193">
        <v>14.746</v>
      </c>
      <c r="AJ193">
        <v>14.361000000000001</v>
      </c>
      <c r="AK193">
        <v>8.6720000000000006</v>
      </c>
      <c r="AL193">
        <v>8.7409999999999997</v>
      </c>
      <c r="AM193">
        <v>16.273</v>
      </c>
      <c r="AN193">
        <v>17.015999999999998</v>
      </c>
      <c r="AO193">
        <v>3.919</v>
      </c>
      <c r="AP193">
        <v>6.97</v>
      </c>
    </row>
    <row r="194" spans="1:42" x14ac:dyDescent="0.2">
      <c r="A194" t="s">
        <v>353</v>
      </c>
      <c r="B194">
        <v>2.524</v>
      </c>
      <c r="C194">
        <v>5.4660000000000002</v>
      </c>
      <c r="D194">
        <v>3.7669999999999999</v>
      </c>
      <c r="E194">
        <v>3.6890000000000001</v>
      </c>
      <c r="F194">
        <v>4.298</v>
      </c>
      <c r="G194">
        <v>5.2140000000000004</v>
      </c>
      <c r="H194">
        <v>0.61099999999999999</v>
      </c>
      <c r="I194">
        <v>1.554</v>
      </c>
      <c r="J194">
        <v>3.0779999999999998</v>
      </c>
      <c r="K194">
        <v>3.097</v>
      </c>
      <c r="L194">
        <v>3.1309999999999998</v>
      </c>
      <c r="M194">
        <v>3.1379999999999999</v>
      </c>
      <c r="N194">
        <v>6.9160000000000004</v>
      </c>
      <c r="O194">
        <v>7.0359999999999996</v>
      </c>
      <c r="P194">
        <v>7.2990000000000004</v>
      </c>
      <c r="Q194">
        <v>7.359</v>
      </c>
      <c r="R194">
        <v>1.6020000000000001</v>
      </c>
      <c r="S194">
        <v>7.48</v>
      </c>
      <c r="T194">
        <v>5.0339999999999998</v>
      </c>
      <c r="U194">
        <v>3.92</v>
      </c>
      <c r="V194">
        <v>6.9740000000000002</v>
      </c>
      <c r="W194">
        <v>5.718</v>
      </c>
      <c r="X194">
        <v>6.2169999999999996</v>
      </c>
      <c r="Y194">
        <v>3.8119999999999998</v>
      </c>
      <c r="Z194">
        <v>6.7569999999999997</v>
      </c>
      <c r="AA194">
        <v>7.5549999999999997</v>
      </c>
      <c r="AB194">
        <v>7.6</v>
      </c>
      <c r="AC194">
        <v>7.6529999999999996</v>
      </c>
      <c r="AD194">
        <v>7.6589999999999998</v>
      </c>
      <c r="AE194">
        <v>7.63</v>
      </c>
      <c r="AF194">
        <v>13.753</v>
      </c>
      <c r="AG194">
        <v>14.11</v>
      </c>
      <c r="AH194">
        <v>14.67</v>
      </c>
      <c r="AI194">
        <v>14.757</v>
      </c>
      <c r="AJ194">
        <v>14.381</v>
      </c>
      <c r="AK194">
        <v>8.6750000000000007</v>
      </c>
      <c r="AL194">
        <v>8.7420000000000009</v>
      </c>
      <c r="AM194">
        <v>16.306000000000001</v>
      </c>
      <c r="AN194">
        <v>17.030999999999999</v>
      </c>
      <c r="AO194">
        <v>3.92</v>
      </c>
      <c r="AP194">
        <v>6.9740000000000002</v>
      </c>
    </row>
    <row r="195" spans="1:42" x14ac:dyDescent="0.2">
      <c r="A195" t="s">
        <v>354</v>
      </c>
      <c r="B195">
        <v>2.5249999999999999</v>
      </c>
      <c r="C195">
        <v>5.4770000000000003</v>
      </c>
      <c r="D195">
        <v>3.7690000000000001</v>
      </c>
      <c r="E195">
        <v>3.6909999999999998</v>
      </c>
      <c r="F195">
        <v>4.3049999999999997</v>
      </c>
      <c r="G195">
        <v>5.2210000000000001</v>
      </c>
      <c r="H195">
        <v>0.61299999999999999</v>
      </c>
      <c r="I195">
        <v>1.5649999999999999</v>
      </c>
      <c r="J195">
        <v>3.081</v>
      </c>
      <c r="K195">
        <v>3.1</v>
      </c>
      <c r="L195">
        <v>3.133</v>
      </c>
      <c r="M195">
        <v>3.14</v>
      </c>
      <c r="N195">
        <v>6.9370000000000003</v>
      </c>
      <c r="O195">
        <v>7.056</v>
      </c>
      <c r="P195">
        <v>7.3150000000000004</v>
      </c>
      <c r="Q195">
        <v>7.375</v>
      </c>
      <c r="R195">
        <v>1.605</v>
      </c>
      <c r="S195">
        <v>7.4859999999999998</v>
      </c>
      <c r="T195">
        <v>5.0369999999999999</v>
      </c>
      <c r="U195">
        <v>3.92</v>
      </c>
      <c r="V195">
        <v>6.9779999999999998</v>
      </c>
      <c r="W195">
        <v>5.7210000000000001</v>
      </c>
      <c r="X195">
        <v>6.2220000000000004</v>
      </c>
      <c r="Y195">
        <v>3.8159999999999998</v>
      </c>
      <c r="Z195">
        <v>6.7850000000000001</v>
      </c>
      <c r="AA195">
        <v>7.5590000000000002</v>
      </c>
      <c r="AB195">
        <v>7.6020000000000003</v>
      </c>
      <c r="AC195">
        <v>7.6539999999999999</v>
      </c>
      <c r="AD195">
        <v>7.66</v>
      </c>
      <c r="AE195">
        <v>7.6319999999999997</v>
      </c>
      <c r="AF195">
        <v>13.786</v>
      </c>
      <c r="AG195">
        <v>14.135</v>
      </c>
      <c r="AH195">
        <v>14.682</v>
      </c>
      <c r="AI195">
        <v>14.766999999999999</v>
      </c>
      <c r="AJ195">
        <v>14.401</v>
      </c>
      <c r="AK195">
        <v>8.6780000000000008</v>
      </c>
      <c r="AL195">
        <v>8.7430000000000003</v>
      </c>
      <c r="AM195">
        <v>16.338000000000001</v>
      </c>
      <c r="AN195">
        <v>17.045999999999999</v>
      </c>
      <c r="AO195">
        <v>3.92</v>
      </c>
      <c r="AP195">
        <v>6.9779999999999998</v>
      </c>
    </row>
    <row r="196" spans="1:42" x14ac:dyDescent="0.2">
      <c r="A196" t="s">
        <v>355</v>
      </c>
      <c r="B196">
        <v>2.5259999999999998</v>
      </c>
      <c r="C196">
        <v>5.4880000000000004</v>
      </c>
      <c r="D196">
        <v>3.77</v>
      </c>
      <c r="E196">
        <v>3.6930000000000001</v>
      </c>
      <c r="F196">
        <v>4.3120000000000003</v>
      </c>
      <c r="G196">
        <v>5.2279999999999998</v>
      </c>
      <c r="H196">
        <v>0.61499999999999999</v>
      </c>
      <c r="I196">
        <v>1.5760000000000001</v>
      </c>
      <c r="J196">
        <v>3.0840000000000001</v>
      </c>
      <c r="K196">
        <v>3.1019999999999999</v>
      </c>
      <c r="L196">
        <v>3.1349999999999998</v>
      </c>
      <c r="M196">
        <v>3.141</v>
      </c>
      <c r="N196">
        <v>6.9580000000000002</v>
      </c>
      <c r="O196">
        <v>7.0750000000000002</v>
      </c>
      <c r="P196">
        <v>7.3310000000000004</v>
      </c>
      <c r="Q196">
        <v>7.3890000000000002</v>
      </c>
      <c r="R196">
        <v>1.609</v>
      </c>
      <c r="S196">
        <v>7.492</v>
      </c>
      <c r="T196">
        <v>5.04</v>
      </c>
      <c r="U196">
        <v>3.92</v>
      </c>
      <c r="V196">
        <v>6.9820000000000002</v>
      </c>
      <c r="W196">
        <v>5.7229999999999999</v>
      </c>
      <c r="X196">
        <v>6.226</v>
      </c>
      <c r="Y196">
        <v>3.82</v>
      </c>
      <c r="Z196">
        <v>6.8109999999999999</v>
      </c>
      <c r="AA196">
        <v>7.5620000000000003</v>
      </c>
      <c r="AB196">
        <v>7.6050000000000004</v>
      </c>
      <c r="AC196">
        <v>7.6550000000000002</v>
      </c>
      <c r="AD196">
        <v>7.66</v>
      </c>
      <c r="AE196">
        <v>7.633</v>
      </c>
      <c r="AF196">
        <v>13.818</v>
      </c>
      <c r="AG196">
        <v>14.16</v>
      </c>
      <c r="AH196">
        <v>14.694000000000001</v>
      </c>
      <c r="AI196">
        <v>14.776</v>
      </c>
      <c r="AJ196">
        <v>14.42</v>
      </c>
      <c r="AK196">
        <v>8.6809999999999992</v>
      </c>
      <c r="AL196">
        <v>8.7439999999999998</v>
      </c>
      <c r="AM196">
        <v>16.369</v>
      </c>
      <c r="AN196">
        <v>17.059999999999999</v>
      </c>
      <c r="AO196">
        <v>3.92</v>
      </c>
      <c r="AP196">
        <v>6.9820000000000002</v>
      </c>
    </row>
    <row r="197" spans="1:42" x14ac:dyDescent="0.2">
      <c r="A197" t="s">
        <v>356</v>
      </c>
      <c r="B197">
        <v>2.528</v>
      </c>
      <c r="C197">
        <v>5.4989999999999997</v>
      </c>
      <c r="D197">
        <v>3.7719999999999998</v>
      </c>
      <c r="E197">
        <v>3.694</v>
      </c>
      <c r="F197">
        <v>4.3179999999999996</v>
      </c>
      <c r="G197">
        <v>5.234</v>
      </c>
      <c r="H197">
        <v>0.61599999999999999</v>
      </c>
      <c r="I197">
        <v>1.587</v>
      </c>
      <c r="J197">
        <v>3.0870000000000002</v>
      </c>
      <c r="K197">
        <v>3.1040000000000001</v>
      </c>
      <c r="L197">
        <v>3.137</v>
      </c>
      <c r="M197">
        <v>3.1429999999999998</v>
      </c>
      <c r="N197">
        <v>6.9779999999999998</v>
      </c>
      <c r="O197">
        <v>7.0940000000000003</v>
      </c>
      <c r="P197">
        <v>7.3470000000000004</v>
      </c>
      <c r="Q197">
        <v>7.4039999999999999</v>
      </c>
      <c r="R197">
        <v>1.6120000000000001</v>
      </c>
      <c r="S197">
        <v>7.4980000000000002</v>
      </c>
      <c r="T197">
        <v>5.0430000000000001</v>
      </c>
      <c r="U197">
        <v>3.9209999999999998</v>
      </c>
      <c r="V197">
        <v>6.9859999999999998</v>
      </c>
      <c r="W197">
        <v>5.7249999999999996</v>
      </c>
      <c r="X197">
        <v>6.2309999999999999</v>
      </c>
      <c r="Y197">
        <v>3.823</v>
      </c>
      <c r="Z197">
        <v>6.8380000000000001</v>
      </c>
      <c r="AA197">
        <v>7.5659999999999998</v>
      </c>
      <c r="AB197">
        <v>7.6070000000000002</v>
      </c>
      <c r="AC197">
        <v>7.6550000000000002</v>
      </c>
      <c r="AD197">
        <v>7.6609999999999996</v>
      </c>
      <c r="AE197">
        <v>7.6349999999999998</v>
      </c>
      <c r="AF197">
        <v>13.85</v>
      </c>
      <c r="AG197">
        <v>14.185</v>
      </c>
      <c r="AH197">
        <v>14.706</v>
      </c>
      <c r="AI197">
        <v>14.786</v>
      </c>
      <c r="AJ197">
        <v>14.439</v>
      </c>
      <c r="AK197">
        <v>8.6839999999999993</v>
      </c>
      <c r="AL197">
        <v>8.7449999999999992</v>
      </c>
      <c r="AM197">
        <v>16.399999999999999</v>
      </c>
      <c r="AN197">
        <v>17.074000000000002</v>
      </c>
      <c r="AO197">
        <v>3.9209999999999998</v>
      </c>
      <c r="AP197">
        <v>6.9859999999999998</v>
      </c>
    </row>
    <row r="198" spans="1:42" x14ac:dyDescent="0.2">
      <c r="A198" t="s">
        <v>357</v>
      </c>
      <c r="B198">
        <v>2.5289999999999999</v>
      </c>
      <c r="C198">
        <v>5.5090000000000003</v>
      </c>
      <c r="D198">
        <v>3.774</v>
      </c>
      <c r="E198">
        <v>3.6960000000000002</v>
      </c>
      <c r="F198">
        <v>4.3250000000000002</v>
      </c>
      <c r="G198">
        <v>5.2409999999999997</v>
      </c>
      <c r="H198">
        <v>0.61799999999999999</v>
      </c>
      <c r="I198">
        <v>1.5980000000000001</v>
      </c>
      <c r="J198">
        <v>3.09</v>
      </c>
      <c r="K198">
        <v>3.1070000000000002</v>
      </c>
      <c r="L198">
        <v>3.1379999999999999</v>
      </c>
      <c r="M198">
        <v>3.145</v>
      </c>
      <c r="N198">
        <v>6.9980000000000002</v>
      </c>
      <c r="O198">
        <v>7.1130000000000004</v>
      </c>
      <c r="P198">
        <v>7.3620000000000001</v>
      </c>
      <c r="Q198">
        <v>7.4180000000000001</v>
      </c>
      <c r="R198">
        <v>1.615</v>
      </c>
      <c r="S198">
        <v>7.5039999999999996</v>
      </c>
      <c r="T198">
        <v>5.0449999999999999</v>
      </c>
      <c r="U198">
        <v>3.9209999999999998</v>
      </c>
      <c r="V198">
        <v>6.99</v>
      </c>
      <c r="W198">
        <v>5.7270000000000003</v>
      </c>
      <c r="X198">
        <v>6.2350000000000003</v>
      </c>
      <c r="Y198">
        <v>3.827</v>
      </c>
      <c r="Z198">
        <v>6.8630000000000004</v>
      </c>
      <c r="AA198">
        <v>7.57</v>
      </c>
      <c r="AB198">
        <v>7.61</v>
      </c>
      <c r="AC198">
        <v>7.6559999999999997</v>
      </c>
      <c r="AD198">
        <v>7.6619999999999999</v>
      </c>
      <c r="AE198">
        <v>7.6360000000000001</v>
      </c>
      <c r="AF198">
        <v>13.881</v>
      </c>
      <c r="AG198">
        <v>14.209</v>
      </c>
      <c r="AH198">
        <v>14.717000000000001</v>
      </c>
      <c r="AI198">
        <v>14.795</v>
      </c>
      <c r="AJ198">
        <v>14.457000000000001</v>
      </c>
      <c r="AK198">
        <v>8.6869999999999994</v>
      </c>
      <c r="AL198">
        <v>8.7460000000000004</v>
      </c>
      <c r="AM198">
        <v>16.43</v>
      </c>
      <c r="AN198">
        <v>17.088000000000001</v>
      </c>
      <c r="AO198">
        <v>3.9209999999999998</v>
      </c>
      <c r="AP198">
        <v>6.99</v>
      </c>
    </row>
    <row r="199" spans="1:42" x14ac:dyDescent="0.2">
      <c r="A199" t="s">
        <v>358</v>
      </c>
      <c r="B199">
        <v>2.5299999999999998</v>
      </c>
      <c r="C199">
        <v>5.5190000000000001</v>
      </c>
      <c r="D199">
        <v>3.7759999999999998</v>
      </c>
      <c r="E199">
        <v>3.698</v>
      </c>
      <c r="F199">
        <v>4.3310000000000004</v>
      </c>
      <c r="G199">
        <v>5.2480000000000002</v>
      </c>
      <c r="H199">
        <v>0.62</v>
      </c>
      <c r="I199">
        <v>1.609</v>
      </c>
      <c r="J199">
        <v>3.0920000000000001</v>
      </c>
      <c r="K199">
        <v>3.109</v>
      </c>
      <c r="L199">
        <v>3.14</v>
      </c>
      <c r="M199">
        <v>3.1459999999999999</v>
      </c>
      <c r="N199">
        <v>7.0179999999999998</v>
      </c>
      <c r="O199">
        <v>7.1319999999999997</v>
      </c>
      <c r="P199">
        <v>7.3769999999999998</v>
      </c>
      <c r="Q199">
        <v>7.4320000000000004</v>
      </c>
      <c r="R199">
        <v>1.6180000000000001</v>
      </c>
      <c r="S199">
        <v>7.51</v>
      </c>
      <c r="T199">
        <v>5.048</v>
      </c>
      <c r="U199">
        <v>3.9209999999999998</v>
      </c>
      <c r="V199">
        <v>6.9930000000000003</v>
      </c>
      <c r="W199">
        <v>5.7290000000000001</v>
      </c>
      <c r="X199">
        <v>6.24</v>
      </c>
      <c r="Y199">
        <v>3.83</v>
      </c>
      <c r="Z199">
        <v>6.8879999999999999</v>
      </c>
      <c r="AA199">
        <v>7.5730000000000004</v>
      </c>
      <c r="AB199">
        <v>7.6120000000000001</v>
      </c>
      <c r="AC199">
        <v>7.657</v>
      </c>
      <c r="AD199">
        <v>7.6619999999999999</v>
      </c>
      <c r="AE199">
        <v>7.6379999999999999</v>
      </c>
      <c r="AF199">
        <v>13.911</v>
      </c>
      <c r="AG199">
        <v>14.231999999999999</v>
      </c>
      <c r="AH199">
        <v>14.728</v>
      </c>
      <c r="AI199">
        <v>14.804</v>
      </c>
      <c r="AJ199">
        <v>14.475</v>
      </c>
      <c r="AK199">
        <v>8.69</v>
      </c>
      <c r="AL199">
        <v>8.7469999999999999</v>
      </c>
      <c r="AM199">
        <v>16.459</v>
      </c>
      <c r="AN199">
        <v>17.100999999999999</v>
      </c>
      <c r="AO199">
        <v>3.9209999999999998</v>
      </c>
      <c r="AP199">
        <v>6.9930000000000003</v>
      </c>
    </row>
    <row r="200" spans="1:42" x14ac:dyDescent="0.2">
      <c r="A200" t="s">
        <v>359</v>
      </c>
      <c r="B200">
        <v>2.532</v>
      </c>
      <c r="C200">
        <v>5.5289999999999999</v>
      </c>
      <c r="D200">
        <v>3.778</v>
      </c>
      <c r="E200">
        <v>3.7</v>
      </c>
      <c r="F200">
        <v>4.3369999999999997</v>
      </c>
      <c r="G200">
        <v>5.2539999999999996</v>
      </c>
      <c r="H200">
        <v>0.622</v>
      </c>
      <c r="I200">
        <v>1.62</v>
      </c>
      <c r="J200">
        <v>3.0950000000000002</v>
      </c>
      <c r="K200">
        <v>3.1120000000000001</v>
      </c>
      <c r="L200">
        <v>3.1419999999999999</v>
      </c>
      <c r="M200">
        <v>3.1480000000000001</v>
      </c>
      <c r="N200">
        <v>7.0369999999999999</v>
      </c>
      <c r="O200">
        <v>7.15</v>
      </c>
      <c r="P200">
        <v>7.391</v>
      </c>
      <c r="Q200">
        <v>7.4459999999999997</v>
      </c>
      <c r="R200">
        <v>1.621</v>
      </c>
      <c r="S200">
        <v>7.5149999999999997</v>
      </c>
      <c r="T200">
        <v>5.0510000000000002</v>
      </c>
      <c r="U200">
        <v>3.9209999999999998</v>
      </c>
      <c r="V200">
        <v>6.9969999999999999</v>
      </c>
      <c r="W200">
        <v>5.7309999999999999</v>
      </c>
      <c r="X200">
        <v>6.2439999999999998</v>
      </c>
      <c r="Y200">
        <v>3.8330000000000002</v>
      </c>
      <c r="Z200">
        <v>6.9130000000000003</v>
      </c>
      <c r="AA200">
        <v>7.577</v>
      </c>
      <c r="AB200">
        <v>7.6139999999999999</v>
      </c>
      <c r="AC200">
        <v>7.6580000000000004</v>
      </c>
      <c r="AD200">
        <v>7.6630000000000003</v>
      </c>
      <c r="AE200">
        <v>7.6390000000000002</v>
      </c>
      <c r="AF200">
        <v>13.941000000000001</v>
      </c>
      <c r="AG200">
        <v>14.255000000000001</v>
      </c>
      <c r="AH200">
        <v>14.739000000000001</v>
      </c>
      <c r="AI200">
        <v>14.813000000000001</v>
      </c>
      <c r="AJ200">
        <v>14.493</v>
      </c>
      <c r="AK200">
        <v>8.6929999999999996</v>
      </c>
      <c r="AL200">
        <v>8.7479999999999993</v>
      </c>
      <c r="AM200">
        <v>16.486999999999998</v>
      </c>
      <c r="AN200">
        <v>17.114000000000001</v>
      </c>
      <c r="AO200">
        <v>3.9209999999999998</v>
      </c>
      <c r="AP200">
        <v>6.9969999999999999</v>
      </c>
    </row>
    <row r="201" spans="1:42" x14ac:dyDescent="0.2">
      <c r="A201" t="s">
        <v>360</v>
      </c>
      <c r="B201">
        <v>2.5329999999999999</v>
      </c>
      <c r="C201">
        <v>5.5389999999999997</v>
      </c>
      <c r="D201">
        <v>3.7789999999999999</v>
      </c>
      <c r="E201">
        <v>3.702</v>
      </c>
      <c r="F201">
        <v>4.3440000000000003</v>
      </c>
      <c r="G201">
        <v>5.2610000000000001</v>
      </c>
      <c r="H201">
        <v>0.623</v>
      </c>
      <c r="I201">
        <v>1.631</v>
      </c>
      <c r="J201">
        <v>3.097</v>
      </c>
      <c r="K201">
        <v>3.1139999999999999</v>
      </c>
      <c r="L201">
        <v>3.1440000000000001</v>
      </c>
      <c r="M201">
        <v>3.15</v>
      </c>
      <c r="N201">
        <v>7.0570000000000004</v>
      </c>
      <c r="O201">
        <v>7.1680000000000001</v>
      </c>
      <c r="P201">
        <v>7.4059999999999997</v>
      </c>
      <c r="Q201">
        <v>7.4589999999999996</v>
      </c>
      <c r="R201">
        <v>1.6240000000000001</v>
      </c>
      <c r="S201">
        <v>7.5209999999999999</v>
      </c>
      <c r="T201">
        <v>5.0529999999999999</v>
      </c>
      <c r="U201">
        <v>3.9220000000000002</v>
      </c>
      <c r="V201">
        <v>7</v>
      </c>
      <c r="W201">
        <v>5.7329999999999997</v>
      </c>
      <c r="X201">
        <v>6.2480000000000002</v>
      </c>
      <c r="Y201">
        <v>3.8359999999999999</v>
      </c>
      <c r="Z201">
        <v>6.9370000000000003</v>
      </c>
      <c r="AA201">
        <v>7.58</v>
      </c>
      <c r="AB201">
        <v>7.6159999999999997</v>
      </c>
      <c r="AC201">
        <v>7.6580000000000004</v>
      </c>
      <c r="AD201">
        <v>7.6630000000000003</v>
      </c>
      <c r="AE201">
        <v>7.64</v>
      </c>
      <c r="AF201">
        <v>13.97</v>
      </c>
      <c r="AG201">
        <v>14.276999999999999</v>
      </c>
      <c r="AH201">
        <v>14.75</v>
      </c>
      <c r="AI201">
        <v>14.821</v>
      </c>
      <c r="AJ201">
        <v>14.51</v>
      </c>
      <c r="AK201">
        <v>8.6950000000000003</v>
      </c>
      <c r="AL201">
        <v>8.7490000000000006</v>
      </c>
      <c r="AM201">
        <v>16.515000000000001</v>
      </c>
      <c r="AN201">
        <v>17.126999999999999</v>
      </c>
      <c r="AO201">
        <v>3.9220000000000002</v>
      </c>
      <c r="AP201">
        <v>7</v>
      </c>
    </row>
    <row r="202" spans="1:42" x14ac:dyDescent="0.2">
      <c r="A202" t="s">
        <v>361</v>
      </c>
      <c r="B202">
        <v>2.5339999999999998</v>
      </c>
      <c r="C202">
        <v>5.548</v>
      </c>
      <c r="D202">
        <v>3.7810000000000001</v>
      </c>
      <c r="E202">
        <v>3.7029999999999998</v>
      </c>
      <c r="F202">
        <v>4.3499999999999996</v>
      </c>
      <c r="G202">
        <v>5.2670000000000003</v>
      </c>
      <c r="H202">
        <v>0.625</v>
      </c>
      <c r="I202">
        <v>1.641</v>
      </c>
      <c r="J202">
        <v>3.1</v>
      </c>
      <c r="K202">
        <v>3.1160000000000001</v>
      </c>
      <c r="L202">
        <v>3.145</v>
      </c>
      <c r="M202">
        <v>3.1509999999999998</v>
      </c>
      <c r="N202">
        <v>7.0759999999999996</v>
      </c>
      <c r="O202">
        <v>7.1859999999999999</v>
      </c>
      <c r="P202">
        <v>7.42</v>
      </c>
      <c r="Q202">
        <v>7.4729999999999999</v>
      </c>
      <c r="R202">
        <v>1.627</v>
      </c>
      <c r="S202">
        <v>7.5259999999999998</v>
      </c>
      <c r="T202">
        <v>5.056</v>
      </c>
      <c r="U202">
        <v>3.9220000000000002</v>
      </c>
      <c r="V202">
        <v>7.0039999999999996</v>
      </c>
      <c r="W202">
        <v>5.7350000000000003</v>
      </c>
      <c r="X202">
        <v>6.2519999999999998</v>
      </c>
      <c r="Y202">
        <v>3.839</v>
      </c>
      <c r="Z202">
        <v>6.96</v>
      </c>
      <c r="AA202">
        <v>7.5830000000000002</v>
      </c>
      <c r="AB202">
        <v>7.6180000000000003</v>
      </c>
      <c r="AC202">
        <v>7.6589999999999998</v>
      </c>
      <c r="AD202">
        <v>7.6639999999999997</v>
      </c>
      <c r="AE202">
        <v>7.641</v>
      </c>
      <c r="AF202">
        <v>13.997999999999999</v>
      </c>
      <c r="AG202">
        <v>14.298</v>
      </c>
      <c r="AH202">
        <v>14.76</v>
      </c>
      <c r="AI202">
        <v>14.83</v>
      </c>
      <c r="AJ202">
        <v>14.526</v>
      </c>
      <c r="AK202">
        <v>8.6980000000000004</v>
      </c>
      <c r="AL202">
        <v>8.7490000000000006</v>
      </c>
      <c r="AM202">
        <v>16.542000000000002</v>
      </c>
      <c r="AN202">
        <v>17.138999999999999</v>
      </c>
      <c r="AO202">
        <v>3.9220000000000002</v>
      </c>
      <c r="AP202">
        <v>7.0039999999999996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de0d80-e9cc-4ffe-9056-8e44b0213cdb">
      <Terms xmlns="http://schemas.microsoft.com/office/infopath/2007/PartnerControls"/>
    </lcf76f155ced4ddcb4097134ff3c332f>
    <TaxCatchAll xmlns="6ffd5532-97d7-45f8-ad49-10295da499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3A791DE63B664CB51E443E28CC4C12" ma:contentTypeVersion="10" ma:contentTypeDescription="Create a new document." ma:contentTypeScope="" ma:versionID="b8ca8a453de2694caece01455840582a">
  <xsd:schema xmlns:xsd="http://www.w3.org/2001/XMLSchema" xmlns:xs="http://www.w3.org/2001/XMLSchema" xmlns:p="http://schemas.microsoft.com/office/2006/metadata/properties" xmlns:ns2="aede0d80-e9cc-4ffe-9056-8e44b0213cdb" xmlns:ns3="6ffd5532-97d7-45f8-ad49-10295da499a0" targetNamespace="http://schemas.microsoft.com/office/2006/metadata/properties" ma:root="true" ma:fieldsID="09e6cb53fb0e21f7b6421baf913a0997" ns2:_="" ns3:_="">
    <xsd:import namespace="aede0d80-e9cc-4ffe-9056-8e44b0213cdb"/>
    <xsd:import namespace="6ffd5532-97d7-45f8-ad49-10295da49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0d80-e9cc-4ffe-9056-8e44b0213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d5532-97d7-45f8-ad49-10295da49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2ae5a1-05df-4099-a189-6c4a0063ce60}" ma:internalName="TaxCatchAll" ma:showField="CatchAllData" ma:web="6ffd5532-97d7-45f8-ad49-10295da49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F42302-97C0-4B6B-912D-4A859C43826C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ffd5532-97d7-45f8-ad49-10295da499a0"/>
    <ds:schemaRef ds:uri="aede0d80-e9cc-4ffe-9056-8e44b0213cdb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A43CAA-F737-4E0B-A44F-F1D54A1704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E5B064-BE46-4969-B603-2666B2B88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e0d80-e9cc-4ffe-9056-8e44b0213cdb"/>
    <ds:schemaRef ds:uri="6ffd5532-97d7-45f8-ad49-10295da49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Figure_6B_6D</vt:lpstr>
      <vt:lpstr>Figure_6A_6C_6E_6F</vt:lpstr>
      <vt:lpstr>Not_used_Results_from_model_OLD</vt:lpstr>
      <vt:lpstr>Results_from_model</vt:lpstr>
      <vt:lpstr>Models_Results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Dinh Minh</dc:creator>
  <cp:lastModifiedBy>Bankowski, Krzysztof</cp:lastModifiedBy>
  <dcterms:created xsi:type="dcterms:W3CDTF">2025-07-15T21:54:44Z</dcterms:created>
  <dcterms:modified xsi:type="dcterms:W3CDTF">2026-04-18T16:47:21Z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2025-07-15T21:55:58Z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0b610206-aa02-4fc6-a550-8643011482f0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0x010100EB3A791DE63B664CB51E443E28CC4C12</vt:lpwstr>
  </property>
  <property fmtid="{D5CDD505-2E9C-101B-9397-08002B2CF9AE}" pid="11" name="MediaServiceImageTags">
    <vt:lpwstr/>
  </property>
</Properties>
</file>